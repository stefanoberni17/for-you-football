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FY x AV\Coaching\NUOVO FILE ALLENAMENTI\"/>
    </mc:Choice>
  </mc:AlternateContent>
  <xr:revisionPtr revIDLastSave="0" documentId="13_ncr:1_{DF9246E4-F492-4776-8F5C-CAB7CAD3AD53}" xr6:coauthVersionLast="47" xr6:coauthVersionMax="47" xr10:uidLastSave="{00000000-0000-0000-0000-000000000000}"/>
  <bookViews>
    <workbookView xWindow="-120" yWindow="-120" windowWidth="29040" windowHeight="15840" activeTab="4" xr2:uid="{32372835-64E5-4477-9B24-670803974ED7}"/>
  </bookViews>
  <sheets>
    <sheet name="FOGLIO RECAP" sheetId="5" r:id="rId1"/>
    <sheet name="SETTIMANA 1" sheetId="2" r:id="rId2"/>
    <sheet name="TEST" sheetId="3" r:id="rId3"/>
    <sheet name="CALCOLO MASSIMALI" sheetId="4" r:id="rId4"/>
    <sheet name="DB ESERCIZI" sheetId="1" r:id="rId5"/>
  </sheets>
  <definedNames>
    <definedName name="_xlnm._FilterDatabase" localSheetId="4" hidden="1">'DB ESERCIZI'!$A$1:$K$1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5" i="2" l="1"/>
  <c r="X65" i="2"/>
  <c r="Y64" i="2"/>
  <c r="X64" i="2"/>
  <c r="Y63" i="2"/>
  <c r="X63" i="2"/>
  <c r="Y62" i="2"/>
  <c r="X62" i="2"/>
  <c r="Y61" i="2"/>
  <c r="X61" i="2"/>
  <c r="Y60" i="2"/>
  <c r="X60" i="2"/>
  <c r="Y59" i="2"/>
  <c r="X59" i="2"/>
  <c r="Y58" i="2"/>
  <c r="X58" i="2"/>
  <c r="Y57" i="2"/>
  <c r="X57" i="2"/>
  <c r="Y56" i="2"/>
  <c r="X56" i="2"/>
  <c r="Y55" i="2"/>
  <c r="X55" i="2"/>
  <c r="Y54" i="2"/>
  <c r="X54" i="2"/>
  <c r="Y53" i="2"/>
  <c r="X53" i="2"/>
  <c r="Y52" i="2"/>
  <c r="X52" i="2"/>
  <c r="Y51" i="2"/>
  <c r="X51" i="2"/>
  <c r="Y50" i="2"/>
  <c r="X50" i="2"/>
  <c r="Y49" i="2"/>
  <c r="X49" i="2"/>
  <c r="Y48" i="2"/>
  <c r="X48" i="2"/>
  <c r="Y47" i="2"/>
  <c r="X47" i="2"/>
  <c r="Y46" i="2"/>
  <c r="X46" i="2"/>
  <c r="Y45" i="2"/>
  <c r="X45" i="2"/>
  <c r="Y44" i="2"/>
  <c r="X44" i="2"/>
  <c r="Y43" i="2"/>
  <c r="X43" i="2"/>
  <c r="Y42" i="2"/>
  <c r="X42" i="2"/>
  <c r="Y41" i="2"/>
  <c r="X41" i="2"/>
  <c r="Y40" i="2"/>
  <c r="X40" i="2"/>
  <c r="Y39" i="2"/>
  <c r="X39" i="2"/>
  <c r="Y38" i="2"/>
  <c r="X38" i="2"/>
  <c r="Y37" i="2"/>
  <c r="X37" i="2"/>
  <c r="Y36" i="2"/>
  <c r="X36" i="2"/>
  <c r="Y35" i="2"/>
  <c r="X35" i="2"/>
  <c r="Y34" i="2"/>
  <c r="X34" i="2"/>
  <c r="Y33" i="2"/>
  <c r="X33" i="2"/>
  <c r="Y32" i="2"/>
  <c r="X32" i="2"/>
  <c r="Y31" i="2"/>
  <c r="X31" i="2"/>
  <c r="Y30" i="2"/>
  <c r="X30" i="2"/>
  <c r="Y29" i="2"/>
  <c r="X29" i="2"/>
  <c r="Y28" i="2"/>
  <c r="X28" i="2"/>
  <c r="Y27" i="2"/>
  <c r="X27" i="2"/>
  <c r="Y26" i="2"/>
  <c r="X26" i="2"/>
  <c r="Y25" i="2"/>
  <c r="X25" i="2"/>
  <c r="Y24" i="2"/>
  <c r="X24" i="2"/>
  <c r="Y23" i="2"/>
  <c r="X23" i="2"/>
  <c r="Y22" i="2"/>
  <c r="X22" i="2"/>
  <c r="Y21" i="2"/>
  <c r="X21" i="2"/>
  <c r="Y20" i="2"/>
  <c r="X20" i="2"/>
  <c r="Y19" i="2"/>
  <c r="X19" i="2"/>
  <c r="Y18" i="2"/>
  <c r="X18" i="2"/>
  <c r="Y17" i="2"/>
  <c r="X17" i="2"/>
  <c r="Y16" i="2"/>
  <c r="X16" i="2"/>
  <c r="Y15" i="2"/>
  <c r="X15" i="2"/>
  <c r="Y14" i="2"/>
  <c r="X14" i="2"/>
  <c r="Y13" i="2"/>
  <c r="X13" i="2"/>
  <c r="Y12" i="2"/>
  <c r="X12" i="2"/>
  <c r="Y11" i="2"/>
  <c r="X11" i="2"/>
  <c r="Y10" i="2"/>
  <c r="X10" i="2"/>
  <c r="Y9" i="2"/>
  <c r="X9" i="2"/>
  <c r="Y7" i="2"/>
  <c r="X7" i="2"/>
  <c r="Y6" i="2"/>
  <c r="X6" i="2"/>
  <c r="Y5" i="2"/>
  <c r="X5" i="2"/>
  <c r="Y4" i="2"/>
  <c r="X4" i="2"/>
  <c r="D41" i="5"/>
  <c r="D40" i="5"/>
  <c r="D39" i="5"/>
  <c r="D38" i="5"/>
  <c r="D37" i="5"/>
  <c r="D22" i="5"/>
  <c r="D21" i="5"/>
  <c r="D20" i="5"/>
  <c r="D19" i="5"/>
  <c r="D18" i="5"/>
  <c r="D17" i="5"/>
  <c r="D16" i="5"/>
  <c r="D15" i="5"/>
  <c r="T65" i="2"/>
  <c r="S65" i="2"/>
  <c r="T64" i="2"/>
  <c r="S64" i="2"/>
  <c r="T63" i="2"/>
  <c r="S63" i="2"/>
  <c r="T62" i="2"/>
  <c r="S62" i="2"/>
  <c r="T61" i="2"/>
  <c r="S61" i="2"/>
  <c r="T60" i="2"/>
  <c r="S60" i="2"/>
  <c r="T59" i="2"/>
  <c r="S59" i="2"/>
  <c r="T58" i="2"/>
  <c r="S58" i="2"/>
  <c r="T57" i="2"/>
  <c r="S57" i="2"/>
  <c r="T56" i="2"/>
  <c r="S56" i="2"/>
  <c r="T55" i="2"/>
  <c r="S55" i="2"/>
  <c r="T54" i="2"/>
  <c r="S54" i="2"/>
  <c r="T53" i="2"/>
  <c r="S53" i="2"/>
  <c r="T52" i="2"/>
  <c r="S52" i="2"/>
  <c r="T51" i="2"/>
  <c r="S51" i="2"/>
  <c r="T50" i="2"/>
  <c r="S50" i="2"/>
  <c r="T49" i="2"/>
  <c r="S49" i="2"/>
  <c r="T48" i="2"/>
  <c r="S48" i="2"/>
  <c r="T47" i="2"/>
  <c r="S47" i="2"/>
  <c r="T46" i="2"/>
  <c r="S46" i="2"/>
  <c r="T45" i="2"/>
  <c r="S45" i="2"/>
  <c r="T44" i="2"/>
  <c r="S44" i="2"/>
  <c r="T43" i="2"/>
  <c r="S43" i="2"/>
  <c r="T42" i="2"/>
  <c r="S42" i="2"/>
  <c r="T41" i="2"/>
  <c r="S41" i="2"/>
  <c r="T40" i="2"/>
  <c r="S40" i="2"/>
  <c r="T39" i="2"/>
  <c r="S39" i="2"/>
  <c r="T38" i="2"/>
  <c r="S38" i="2"/>
  <c r="T37" i="2"/>
  <c r="S37" i="2"/>
  <c r="T36" i="2"/>
  <c r="S36" i="2"/>
  <c r="T35" i="2"/>
  <c r="S35" i="2"/>
  <c r="T34" i="2"/>
  <c r="S34" i="2"/>
  <c r="T33" i="2"/>
  <c r="S33" i="2"/>
  <c r="T32" i="2"/>
  <c r="S32" i="2"/>
  <c r="T31" i="2"/>
  <c r="S31" i="2"/>
  <c r="T30" i="2"/>
  <c r="S30" i="2"/>
  <c r="T29" i="2"/>
  <c r="S29" i="2"/>
  <c r="T28" i="2"/>
  <c r="S28" i="2"/>
  <c r="T27" i="2"/>
  <c r="S27" i="2"/>
  <c r="T26" i="2"/>
  <c r="S26" i="2"/>
  <c r="T25" i="2"/>
  <c r="S25" i="2"/>
  <c r="T24" i="2"/>
  <c r="S24" i="2"/>
  <c r="T23" i="2"/>
  <c r="S23" i="2"/>
  <c r="T22" i="2"/>
  <c r="S22" i="2"/>
  <c r="T21" i="2"/>
  <c r="S21" i="2"/>
  <c r="T20" i="2"/>
  <c r="S20" i="2"/>
  <c r="T19" i="2"/>
  <c r="S19" i="2"/>
  <c r="T18" i="2"/>
  <c r="S18" i="2"/>
  <c r="T17" i="2"/>
  <c r="S17" i="2"/>
  <c r="T16" i="2"/>
  <c r="S16" i="2"/>
  <c r="T15" i="2"/>
  <c r="S15" i="2"/>
  <c r="T14" i="2"/>
  <c r="S14" i="2"/>
  <c r="T13" i="2"/>
  <c r="S13" i="2"/>
  <c r="T12" i="2"/>
  <c r="S12" i="2"/>
  <c r="T11" i="2"/>
  <c r="S11" i="2"/>
  <c r="T10" i="2"/>
  <c r="S10" i="2"/>
  <c r="T9" i="2"/>
  <c r="S9" i="2"/>
  <c r="T7" i="2"/>
  <c r="S7" i="2"/>
  <c r="T6" i="2"/>
  <c r="S6" i="2"/>
  <c r="T5" i="2"/>
  <c r="S5" i="2"/>
  <c r="T4" i="2"/>
  <c r="S4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7" i="2"/>
  <c r="N7" i="2"/>
  <c r="O6" i="2"/>
  <c r="N6" i="2"/>
  <c r="O5" i="2"/>
  <c r="N5" i="2"/>
  <c r="O4" i="2"/>
  <c r="N4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7" i="2"/>
  <c r="I7" i="2"/>
  <c r="J6" i="2"/>
  <c r="I6" i="2"/>
  <c r="J5" i="2"/>
  <c r="I5" i="2"/>
  <c r="J4" i="2"/>
  <c r="I4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9" i="2"/>
  <c r="D32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9" i="2"/>
  <c r="D5" i="2"/>
  <c r="D6" i="2"/>
  <c r="D7" i="2"/>
  <c r="D4" i="2"/>
  <c r="E5" i="2"/>
  <c r="E6" i="2"/>
  <c r="E7" i="2"/>
  <c r="E4" i="2"/>
  <c r="E20" i="3"/>
  <c r="E15" i="3"/>
  <c r="E14" i="3"/>
  <c r="E46" i="3"/>
  <c r="E45" i="3"/>
  <c r="E44" i="3"/>
  <c r="E43" i="3"/>
  <c r="E42" i="3"/>
  <c r="E41" i="3"/>
  <c r="E40" i="3"/>
  <c r="E39" i="3"/>
  <c r="E36" i="3"/>
  <c r="E35" i="3"/>
  <c r="E34" i="3"/>
  <c r="E10" i="3"/>
  <c r="E9" i="3"/>
  <c r="E8" i="3"/>
  <c r="E7" i="3"/>
  <c r="E31" i="3"/>
  <c r="E30" i="3"/>
  <c r="E29" i="3"/>
  <c r="E26" i="3"/>
  <c r="E25" i="3"/>
  <c r="E22" i="3"/>
  <c r="E21" i="3"/>
  <c r="E17" i="3"/>
  <c r="E16" i="3"/>
  <c r="E13" i="3"/>
  <c r="E4" i="3"/>
  <c r="E3" i="3"/>
  <c r="K9" i="4"/>
  <c r="J9" i="4"/>
  <c r="I9" i="4"/>
  <c r="H9" i="4"/>
  <c r="G9" i="4"/>
  <c r="F9" i="4"/>
  <c r="E9" i="4"/>
  <c r="D9" i="4"/>
  <c r="K8" i="4"/>
  <c r="J8" i="4"/>
  <c r="I8" i="4"/>
  <c r="H8" i="4"/>
  <c r="G8" i="4"/>
  <c r="F8" i="4"/>
  <c r="E8" i="4"/>
  <c r="D8" i="4"/>
  <c r="K7" i="4"/>
  <c r="J7" i="4"/>
  <c r="I7" i="4"/>
  <c r="H7" i="4"/>
  <c r="G7" i="4"/>
  <c r="F7" i="4"/>
  <c r="E7" i="4"/>
  <c r="D7" i="4"/>
  <c r="K6" i="4"/>
  <c r="J6" i="4"/>
  <c r="I6" i="4"/>
  <c r="H6" i="4"/>
  <c r="G6" i="4"/>
  <c r="F6" i="4"/>
  <c r="E6" i="4"/>
  <c r="D6" i="4"/>
  <c r="K5" i="4"/>
  <c r="J5" i="4"/>
  <c r="I5" i="4"/>
  <c r="H5" i="4"/>
  <c r="G5" i="4"/>
  <c r="F5" i="4"/>
  <c r="E5" i="4"/>
  <c r="D5" i="4"/>
  <c r="K4" i="4"/>
  <c r="J4" i="4"/>
  <c r="I4" i="4"/>
  <c r="H4" i="4"/>
  <c r="G4" i="4"/>
  <c r="F4" i="4"/>
  <c r="E4" i="4"/>
  <c r="D4" i="4"/>
  <c r="K3" i="4"/>
  <c r="J3" i="4"/>
  <c r="I3" i="4"/>
  <c r="H3" i="4"/>
  <c r="G3" i="4"/>
  <c r="F3" i="4"/>
  <c r="E3" i="4"/>
  <c r="D3" i="4"/>
</calcChain>
</file>

<file path=xl/sharedStrings.xml><?xml version="1.0" encoding="utf-8"?>
<sst xmlns="http://schemas.openxmlformats.org/spreadsheetml/2006/main" count="583" uniqueCount="323">
  <si>
    <t>Index</t>
  </si>
  <si>
    <t>Link</t>
  </si>
  <si>
    <t>Towel Curls</t>
  </si>
  <si>
    <t>https://youtube.com/shorts/qW8YXLmdke0</t>
  </si>
  <si>
    <t>Toes Up Down</t>
  </si>
  <si>
    <t>https://youtube.com/shorts/1_TtKlvDeqk?feature=share</t>
  </si>
  <si>
    <t>Toes Up Down 2</t>
  </si>
  <si>
    <t>https://youtube.com/shorts/JctaRd1xxng</t>
  </si>
  <si>
    <t>Toe Bounces</t>
  </si>
  <si>
    <t>https://youtube.com/shorts/rleHrcL6teA?feature=share</t>
  </si>
  <si>
    <t>FY Towe SLRDL</t>
  </si>
  <si>
    <t>https://youtube.com/shorts/_0TsEKkUqGw?feature=share</t>
  </si>
  <si>
    <t>FY Towel 8</t>
  </si>
  <si>
    <t>https://youtube.com/shorts/V805vZi3rLs?feature=share</t>
  </si>
  <si>
    <t>SL Toe Bounces</t>
  </si>
  <si>
    <t>https://youtube.com/shorts/V5SVWUH1_50?feature=share</t>
  </si>
  <si>
    <t>Iso Runner</t>
  </si>
  <si>
    <t>https://youtube.com/shorts/nvENLHoWSR4?feature=share</t>
  </si>
  <si>
    <t>https://youtube.com/shorts/P4H0NE-HCsE?feature=share</t>
  </si>
  <si>
    <t>https://youtube.com/shorts/9_fCiuYPd1o?feature=share</t>
  </si>
  <si>
    <t>https://youtube.com/shorts/FQPEqDy8IBI?feature=share</t>
  </si>
  <si>
    <t>https://youtube.com/shorts/Lbw-eJf6Jn4?feature=share</t>
  </si>
  <si>
    <t>https://youtube.com/shorts/SupJzuKhp54?feature=share</t>
  </si>
  <si>
    <t>https://youtube.com/shorts/De9Dl-RHKD0?feature=share</t>
  </si>
  <si>
    <t>Skater Jump</t>
  </si>
  <si>
    <t>https://youtube.com/shorts/jIdbGisRMV4?feature=share</t>
  </si>
  <si>
    <t>https://youtube.com/shorts/Xr7iEK_5HNQ?feature=share</t>
  </si>
  <si>
    <t>https://youtube.com/shorts/a0iGmxKW4_0?feature=share</t>
  </si>
  <si>
    <t>https://youtube.com/shorts/2ABf__3KZP4?feature=share</t>
  </si>
  <si>
    <t>https://youtube.com/shorts/XULlPKIbmco?feature=share</t>
  </si>
  <si>
    <t>https://youtube.com/shorts/PlxbyVU9fcg?feature=share</t>
  </si>
  <si>
    <t>https://youtube.com/shorts/2-fkHNhdW4I?feature=share</t>
  </si>
  <si>
    <t>Fascia</t>
  </si>
  <si>
    <t>Forza</t>
  </si>
  <si>
    <t>Categoria</t>
  </si>
  <si>
    <t>Obiettivo</t>
  </si>
  <si>
    <t>Parte Bassa</t>
  </si>
  <si>
    <t>Core</t>
  </si>
  <si>
    <t>Area</t>
  </si>
  <si>
    <t>Focus</t>
  </si>
  <si>
    <t>Peso</t>
  </si>
  <si>
    <t>Corpo Libero</t>
  </si>
  <si>
    <t>SI</t>
  </si>
  <si>
    <t>Difficoltà</t>
  </si>
  <si>
    <t>Descrizione</t>
  </si>
  <si>
    <t>Nome</t>
  </si>
  <si>
    <t>tibialis raise</t>
  </si>
  <si>
    <t>calf raises</t>
  </si>
  <si>
    <t>patrick step up</t>
  </si>
  <si>
    <t>poliquin step up</t>
  </si>
  <si>
    <t>atg split squat</t>
  </si>
  <si>
    <t>reverse nordic</t>
  </si>
  <si>
    <t>stacco rumeno</t>
  </si>
  <si>
    <t>hip thrust</t>
  </si>
  <si>
    <t>squat</t>
  </si>
  <si>
    <t>squat bulgaro</t>
  </si>
  <si>
    <t>Affondi in camminata</t>
  </si>
  <si>
    <t>Affondi sul posto</t>
  </si>
  <si>
    <t>copenaghen plank</t>
  </si>
  <si>
    <t>Glute bridge ad una gamba</t>
  </si>
  <si>
    <t>Affondo isometrico</t>
  </si>
  <si>
    <t>Wall sit</t>
  </si>
  <si>
    <t>nordic</t>
  </si>
  <si>
    <t>front squat</t>
  </si>
  <si>
    <t>https://youtube.com/shorts/RDCTvQKcmv0?feature=share</t>
  </si>
  <si>
    <t>https://youtube.com/shorts/VMULf9rZ4TE?feature=share</t>
  </si>
  <si>
    <t>https://youtube.com/shorts/C6Y0yEh4Ed4?feature=share</t>
  </si>
  <si>
    <t>https://youtube.com/shorts/kAnLd3sRhmA?feature=share</t>
  </si>
  <si>
    <t>https://youtube.com/shorts/ruFaw3pDMGQ?feature=share</t>
  </si>
  <si>
    <t>https://youtube.com/shorts/9pLQwT8RuUc?feature=share</t>
  </si>
  <si>
    <t>https://youtube.com/shorts/EuGsglumupM?feature=share</t>
  </si>
  <si>
    <r>
      <rPr>
        <b/>
        <u/>
        <sz val="11"/>
        <color rgb="FF0563C1"/>
        <rFont val="Calibri"/>
        <family val="2"/>
      </rPr>
      <t>https://youtube.com/shorts/Wx_d0y8iGxM?feature=share</t>
    </r>
    <r>
      <rPr>
        <b/>
        <sz val="11"/>
        <color rgb="FF000000"/>
        <rFont val="Calibri"/>
        <family val="2"/>
      </rPr>
      <t xml:space="preserve">     </t>
    </r>
  </si>
  <si>
    <t>Fascia Single leg runner (towel)</t>
  </si>
  <si>
    <t>sumo deadlift</t>
  </si>
  <si>
    <t>stefano</t>
  </si>
  <si>
    <t>Kettlebell swing</t>
  </si>
  <si>
    <t>https://youtube.com/shorts/E87gS0QjGOw?feature=share</t>
  </si>
  <si>
    <t>single leg rdl</t>
  </si>
  <si>
    <t>https://youtube.com/shorts/Do1KR00uAqc?feature=share</t>
  </si>
  <si>
    <t xml:space="preserve">sissy squat </t>
  </si>
  <si>
    <t>knee extension</t>
  </si>
  <si>
    <t>ATG Lunge</t>
  </si>
  <si>
    <t>https://youtube.com/shorts/WGePf1hZ7_I?feature=share</t>
  </si>
  <si>
    <t>Affondo isometrico con tallone sollevato</t>
  </si>
  <si>
    <t>Squat Jump</t>
  </si>
  <si>
    <t>Pogo Jumps</t>
  </si>
  <si>
    <t>Single Leg Pogo Jumps</t>
  </si>
  <si>
    <t>jump 2 up 1 down</t>
  </si>
  <si>
    <t>knee jumps progression (+ box jump)</t>
  </si>
  <si>
    <t>https://youtube.com/shorts/ZdXn3VZVRRQ?feature=share</t>
  </si>
  <si>
    <t>SL RDL - SL Knee Jump Progression Advanced</t>
  </si>
  <si>
    <t>https://youtube.com/shorts/5M85J6mWKz4?feature=share</t>
  </si>
  <si>
    <t xml:space="preserve">Single leg RDL - Sing leg RDL ginocchio piegato - 2 single leg jump </t>
  </si>
  <si>
    <t>https://youtube.com/shorts/1vfkHZS5BUg?feature=share</t>
  </si>
  <si>
    <t>Ankle Stiffness - Pogo Jumps progression</t>
  </si>
  <si>
    <t>https://youtube.com/shorts/0vrnKZpOtPI?feature=share</t>
  </si>
  <si>
    <t>trazioni</t>
  </si>
  <si>
    <t>dips</t>
  </si>
  <si>
    <t>trazioni australiane</t>
  </si>
  <si>
    <t>piegamenti</t>
  </si>
  <si>
    <t>https://youtube.com/shorts/0SlsazXrDyI?feature=share</t>
  </si>
  <si>
    <t>piegamenti declinati</t>
  </si>
  <si>
    <t>piegamenti plyo</t>
  </si>
  <si>
    <t>https://youtube.com/shorts/C-c4opf8G3w?feature=share</t>
  </si>
  <si>
    <t>piegamenti con battito</t>
  </si>
  <si>
    <t>https://youtube.com/shorts/d7jcWg62xSA?feature=share</t>
  </si>
  <si>
    <t>archer pushup</t>
  </si>
  <si>
    <t>one arm pushup</t>
  </si>
  <si>
    <t>archer pullup</t>
  </si>
  <si>
    <t>rematore con bilanciere</t>
  </si>
  <si>
    <t>https://youtube.com/shorts/W3nXzeqQ5Mk?feature=share</t>
  </si>
  <si>
    <t>overhead press con bilanciere</t>
  </si>
  <si>
    <t>panca inclinata con bilanciere</t>
  </si>
  <si>
    <t>panca inclinata con manubri (Flyes)</t>
  </si>
  <si>
    <t>https://youtube.com/shorts/8QW9vvVUFWE?feature=share</t>
  </si>
  <si>
    <t>piegamenti a diamante</t>
  </si>
  <si>
    <t>https://youtube.com/shorts/DYNC1VpmMrQ?feature=share</t>
  </si>
  <si>
    <t>overhead press con manubri</t>
  </si>
  <si>
    <t>https://youtube.com/shorts/Cvm6NLHLLN8?feature=share</t>
  </si>
  <si>
    <t>panca piana con bilanciere</t>
  </si>
  <si>
    <t>Incline dumbbell flyes</t>
  </si>
  <si>
    <t>https://youtube.com/shorts/31e9p6cq070?feature=share</t>
  </si>
  <si>
    <t>cuban press</t>
  </si>
  <si>
    <t>https://youtube.com/shorts/OeD5pWAeRFo?feature=share</t>
  </si>
  <si>
    <t>Piegamenti Hindu</t>
  </si>
  <si>
    <t>https://youtube.com/shorts/S5JwmhB-rHc?feature=share</t>
  </si>
  <si>
    <t>panca piana con bulanciere (gambe in aria)</t>
  </si>
  <si>
    <t>https://youtube.com/shorts/Bnjs6o0og3I?feature=share</t>
  </si>
  <si>
    <t>arnold press con manubri</t>
  </si>
  <si>
    <t>https://youtube.com/shorts/yQkgT7OryWU?feature=share</t>
  </si>
  <si>
    <t>overhead press con manubri in piedi</t>
  </si>
  <si>
    <t>Spinta isometrica al muro frontale</t>
  </si>
  <si>
    <t>https://youtube.com/shorts/_mkVRSQ9_Qw?feature=share</t>
  </si>
  <si>
    <t>Spinta isometrica al muro laterale esterno</t>
  </si>
  <si>
    <t>https://youtube.com/shorts/pNlUIME0BEY?feature=share</t>
  </si>
  <si>
    <t>Spinta isometrica al muro laterale interno</t>
  </si>
  <si>
    <t>https://youtube.com/shorts/fTr5Gj6KgUc?feature=share</t>
  </si>
  <si>
    <t>plank</t>
  </si>
  <si>
    <r>
      <rPr>
        <b/>
        <sz val="11"/>
        <color rgb="FF000000"/>
        <rFont val="Calibri"/>
        <family val="2"/>
      </rPr>
      <t xml:space="preserve"> </t>
    </r>
    <r>
      <rPr>
        <b/>
        <u/>
        <sz val="11"/>
        <color rgb="FF1155CC"/>
        <rFont val="Calibri"/>
        <family val="2"/>
      </rPr>
      <t>https://youtube.com/shorts/MdrinUXALJQ?feature=share</t>
    </r>
  </si>
  <si>
    <t>side plank</t>
  </si>
  <si>
    <t>https://youtube.com/shorts/MdrinUXALJQ?feature=share</t>
  </si>
  <si>
    <t>russian twist</t>
  </si>
  <si>
    <t>holllow hold</t>
  </si>
  <si>
    <t>https://youtube.com/shorts/zTiwvx20mYc?feature=share</t>
  </si>
  <si>
    <t xml:space="preserve">hanging knee raises </t>
  </si>
  <si>
    <t>knee raises (con barra dip)</t>
  </si>
  <si>
    <t>toes to bar</t>
  </si>
  <si>
    <t>dragon flag tuck</t>
  </si>
  <si>
    <t>dragon flag tuck + ecc</t>
  </si>
  <si>
    <t>dragon flag</t>
  </si>
  <si>
    <t>plank su palla</t>
  </si>
  <si>
    <t>Plank to pushup</t>
  </si>
  <si>
    <t>https://youtube.com/shorts/h-ii38OBuwk?feature=share</t>
  </si>
  <si>
    <t>PROGRAMMA DI ALLENAMENTO</t>
  </si>
  <si>
    <t>NOME</t>
  </si>
  <si>
    <t>ETÀ</t>
  </si>
  <si>
    <t>RUOLO</t>
  </si>
  <si>
    <t>OBIETTIVI</t>
  </si>
  <si>
    <t>PESO</t>
  </si>
  <si>
    <t>TECNICA</t>
  </si>
  <si>
    <t>TEST</t>
  </si>
  <si>
    <t>RISULTATO</t>
  </si>
  <si>
    <t>LIVELLO</t>
  </si>
  <si>
    <t>NOTE/COMMENTI</t>
  </si>
  <si>
    <t>RESISTENZA</t>
  </si>
  <si>
    <t>PRO</t>
  </si>
  <si>
    <t>AVANZATO</t>
  </si>
  <si>
    <t>INTERMEDIO</t>
  </si>
  <si>
    <t>BASE</t>
  </si>
  <si>
    <t>NOTE</t>
  </si>
  <si>
    <t>1km</t>
  </si>
  <si>
    <t>3km</t>
  </si>
  <si>
    <t>&lt;11'45''</t>
  </si>
  <si>
    <t>&lt;12'30''</t>
  </si>
  <si>
    <t>&lt;13'45''</t>
  </si>
  <si>
    <t>&gt;13'45''</t>
  </si>
  <si>
    <t>FORZA PB</t>
  </si>
  <si>
    <t>Wall Sit Iso</t>
  </si>
  <si>
    <t>&gt;180"</t>
  </si>
  <si>
    <t>&gt;120"</t>
  </si>
  <si>
    <t>&gt;90"</t>
  </si>
  <si>
    <t>&lt;80"</t>
  </si>
  <si>
    <t>SL Wall Sit Iso DX</t>
  </si>
  <si>
    <t>&gt;60"</t>
  </si>
  <si>
    <t>&gt;40"</t>
  </si>
  <si>
    <t>&lt;40"</t>
  </si>
  <si>
    <t>SL Wall Sit Iso SX</t>
  </si>
  <si>
    <t>Affondo Iso DX</t>
  </si>
  <si>
    <t>Affondo Iso SX</t>
  </si>
  <si>
    <t>FORZA PA</t>
  </si>
  <si>
    <t>NUM.</t>
  </si>
  <si>
    <t>Push ups</t>
  </si>
  <si>
    <t>&gt;50</t>
  </si>
  <si>
    <t>&gt;20</t>
  </si>
  <si>
    <t>&lt;15</t>
  </si>
  <si>
    <t>pull ups</t>
  </si>
  <si>
    <t>&gt;12</t>
  </si>
  <si>
    <t>&gt;8</t>
  </si>
  <si>
    <t>&gt;4</t>
  </si>
  <si>
    <t>&lt;2</t>
  </si>
  <si>
    <t>plank frontale</t>
  </si>
  <si>
    <t>&lt;30"</t>
  </si>
  <si>
    <t>VELOCITA'</t>
  </si>
  <si>
    <t>50mt</t>
  </si>
  <si>
    <t>&lt;7"</t>
  </si>
  <si>
    <t>&lt;8"</t>
  </si>
  <si>
    <t>&lt;9"</t>
  </si>
  <si>
    <t>&gt;10"</t>
  </si>
  <si>
    <t>T Sprint (10mt)</t>
  </si>
  <si>
    <t>&lt;10"</t>
  </si>
  <si>
    <t>&lt;12"</t>
  </si>
  <si>
    <t>&lt;14"</t>
  </si>
  <si>
    <t>&gt;14"</t>
  </si>
  <si>
    <t>FORZA ESPLOSIVA</t>
  </si>
  <si>
    <t>Broad Jump</t>
  </si>
  <si>
    <t>&gt;250cm</t>
  </si>
  <si>
    <t>&gt;200cm</t>
  </si>
  <si>
    <t>&gt;170cm</t>
  </si>
  <si>
    <t>&lt;160cm</t>
  </si>
  <si>
    <t>SL Broad Jump DX</t>
  </si>
  <si>
    <t>&gt;240cm</t>
  </si>
  <si>
    <t>&gt;190cm</t>
  </si>
  <si>
    <t>&gt;150cm</t>
  </si>
  <si>
    <t>&lt;140cm</t>
  </si>
  <si>
    <t>SL Broad Jump SX</t>
  </si>
  <si>
    <t>CAPAC. ANAEROBICA</t>
  </si>
  <si>
    <t>Navetta 10mt x 30"</t>
  </si>
  <si>
    <t>&gt;10</t>
  </si>
  <si>
    <t>&gt;7</t>
  </si>
  <si>
    <t>&lt;6</t>
  </si>
  <si>
    <t>imposta il timer sul tuo telefono a 30" e cerca di fare più navette possibili nel tempo</t>
  </si>
  <si>
    <t>20'' Ankle Jump Test</t>
  </si>
  <si>
    <t>20'' SL Ankle Jump Test (DX)</t>
  </si>
  <si>
    <t>&gt;9</t>
  </si>
  <si>
    <t>&gt;6</t>
  </si>
  <si>
    <t>&lt;5</t>
  </si>
  <si>
    <t>20'' SL Ankle Jump Test (SX)</t>
  </si>
  <si>
    <t>FASCIA</t>
  </si>
  <si>
    <t>SENSAZIONI</t>
  </si>
  <si>
    <t>120'' Pogo Jumps</t>
  </si>
  <si>
    <t>senti fatica ai glutei/ addome</t>
  </si>
  <si>
    <t>senti fatica su flessori/coscia</t>
  </si>
  <si>
    <t>senti fatica su quadricipiti/ polpacci</t>
  </si>
  <si>
    <t>senti fatica su caviglia/ piede</t>
  </si>
  <si>
    <t>imposta timer 2 minuti ed esegui dei saltelli sul posto alla frequenza di circa 2 saltelli al secondo, concentrati sul mantenere il punto di contatto sempre nell'avampiede (no tallone) e caviglia rigida</t>
  </si>
  <si>
    <t>180" toe curls SX</t>
  </si>
  <si>
    <t>esegui per 3 minuti (per piede) l'esercizio "Toe curls", posizionandoti in piedi con 1 piede avanti, appoggiando l'avampiede su un asciugamano ed eseguendo delle "retrazioni" delle dita, come se dovessi spingere sull'asciugamano e "accorciare" la tua pianta del piede. mantieni circa il 70/80% del peso sulla gamba avanti (link video: xxxx)</t>
  </si>
  <si>
    <t>180" toe curls DX</t>
  </si>
  <si>
    <t>N. MAX</t>
  </si>
  <si>
    <t>Palleggi Piede forte</t>
  </si>
  <si>
    <t>&gt;150</t>
  </si>
  <si>
    <t>&gt;100</t>
  </si>
  <si>
    <t>&lt;50</t>
  </si>
  <si>
    <t>consecutivi senza far cadere la palla, max. 3 tentativi</t>
  </si>
  <si>
    <t>Palleggi piede debole</t>
  </si>
  <si>
    <t>&gt;120</t>
  </si>
  <si>
    <t>&gt;80</t>
  </si>
  <si>
    <t>&gt;30</t>
  </si>
  <si>
    <t>&lt;30</t>
  </si>
  <si>
    <t>Palleggi Testa</t>
  </si>
  <si>
    <t>&gt;25</t>
  </si>
  <si>
    <t>&lt;25</t>
  </si>
  <si>
    <t>Piramide Palleggi</t>
  </si>
  <si>
    <t>&gt;5</t>
  </si>
  <si>
    <t>&gt;3</t>
  </si>
  <si>
    <t>consecutivi senza far cadere la palla, max. 3 tentativi (piede coscia testa coscia piede)</t>
  </si>
  <si>
    <t>10 tiri traversa (da fuori area) piede forte</t>
  </si>
  <si>
    <t>1/0</t>
  </si>
  <si>
    <t>max 3 tentativi</t>
  </si>
  <si>
    <t>10 tiri traversa (da fuori area) piede debole</t>
  </si>
  <si>
    <t>10 passaggi palo (da fuori area) piede forte</t>
  </si>
  <si>
    <t>10 passaggi palo (da fuori area) piede debole</t>
  </si>
  <si>
    <t>TEMPO (SEC)</t>
  </si>
  <si>
    <t>&lt; 3'30''</t>
  </si>
  <si>
    <t>&lt;3'50''</t>
  </si>
  <si>
    <t>&lt;4'10''</t>
  </si>
  <si>
    <t>&gt;4'</t>
  </si>
  <si>
    <t xml:space="preserve"> </t>
  </si>
  <si>
    <t>inserisci qui quante ripetizioni hai fatto</t>
  </si>
  <si>
    <t>inserisci qui il peso che hai usato</t>
  </si>
  <si>
    <t>QUESTO SARA' IL CALCOLO DELLA PERCENTUALE DEL TUO PESO MASSIMALE (NON TOCCARE I CAMPI QUI SOTTO)</t>
  </si>
  <si>
    <t>ESERCIZIO</t>
  </si>
  <si>
    <t>RIPETIZIONI</t>
  </si>
  <si>
    <t>PESO (kg)</t>
  </si>
  <si>
    <t>40%</t>
  </si>
  <si>
    <t>50%</t>
  </si>
  <si>
    <t>60%</t>
  </si>
  <si>
    <t>70%</t>
  </si>
  <si>
    <t>80%</t>
  </si>
  <si>
    <t>85%</t>
  </si>
  <si>
    <t>90%</t>
  </si>
  <si>
    <t>100%</t>
  </si>
  <si>
    <t>SQUAT</t>
  </si>
  <si>
    <t>DEADLIFT</t>
  </si>
  <si>
    <t>HIP TRUST</t>
  </si>
  <si>
    <t>BULGARIAN SQUAT</t>
  </si>
  <si>
    <t>PANCA PIANA</t>
  </si>
  <si>
    <t>SHOULDER PRESS</t>
  </si>
  <si>
    <t>PULL UPS</t>
  </si>
  <si>
    <t>VELOCITÀ</t>
  </si>
  <si>
    <t>Esegui dei piegamenti completi toccando il petto a terra e distendendo le braccia</t>
  </si>
  <si>
    <t>&gt;40</t>
  </si>
  <si>
    <t>CM</t>
  </si>
  <si>
    <t>per la distanza tra I 2 piedi: posizionati come se dovessi fare dei piegamenti, solleva il piede con cui devi fare il test e posizionalo circa ad altezza del petto/spalle, alzati e vai in posizione di affondo con la gamba posteriore più tesa possibile</t>
  </si>
  <si>
    <t>FORZA</t>
  </si>
  <si>
    <t>PREVENZIONE</t>
  </si>
  <si>
    <t>RDL Progression</t>
  </si>
  <si>
    <t>Prevenzione</t>
  </si>
  <si>
    <t>Forza Esplosiva</t>
  </si>
  <si>
    <t>Full Body</t>
  </si>
  <si>
    <t>Nordic hamstring</t>
  </si>
  <si>
    <t>SETTIMANA</t>
  </si>
  <si>
    <t>GIORNO</t>
  </si>
  <si>
    <t>RISCALDAMENTO</t>
  </si>
  <si>
    <t>ALLENAMENTO</t>
  </si>
  <si>
    <t>RECUPERO</t>
  </si>
  <si>
    <t>DESCRIZIONE/NOTE</t>
  </si>
  <si>
    <t>LINK</t>
  </si>
  <si>
    <t>esegui una retrazione del piede utilizzando un asciugamano</t>
  </si>
  <si>
    <t>REPS/TEMPO</t>
  </si>
  <si>
    <t>FOCUS ALLENAMENTO</t>
  </si>
  <si>
    <t>LIVELLO ATTUALE - Dettaglio</t>
  </si>
  <si>
    <t>LIVELLO ATTUALE - Generale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</si>
</sst>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rgb="FF0563C1"/>
      <name val="Calibri"/>
      <family val="2"/>
    </font>
    <font>
      <b/>
      <sz val="11"/>
      <color rgb="FF000000"/>
      <name val="Calibri"/>
      <family val="2"/>
    </font>
    <font>
      <b/>
      <u/>
      <sz val="11"/>
      <color rgb="FF1155CC"/>
      <name val="Calibri"/>
      <family val="2"/>
    </font>
    <font>
      <b/>
      <i/>
      <sz val="36"/>
      <color theme="0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6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F7F7F"/>
        <bgColor rgb="FF7F7F7F"/>
      </patternFill>
    </fill>
    <fill>
      <patternFill patternType="solid">
        <fgColor rgb="FF548135"/>
        <bgColor rgb="FF548135"/>
      </patternFill>
    </fill>
    <fill>
      <patternFill patternType="solid">
        <fgColor rgb="FF1E4E79"/>
        <bgColor rgb="FF1E4E79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8EAADB"/>
        <bgColor rgb="FF8EAADB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/>
      </patternFill>
    </fill>
    <fill>
      <patternFill patternType="solid">
        <fgColor theme="0" tint="-4.9989318521683403E-2"/>
        <bgColor rgb="FFDEEAF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1" applyBorder="1" applyAlignment="1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9" fillId="0" borderId="0" xfId="0" applyFont="1"/>
    <xf numFmtId="0" fontId="10" fillId="4" borderId="20" xfId="0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7" borderId="20" xfId="0" applyFont="1" applyFill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9" fillId="9" borderId="20" xfId="0" applyFont="1" applyFill="1" applyBorder="1" applyAlignment="1">
      <alignment horizontal="center"/>
    </xf>
    <xf numFmtId="0" fontId="9" fillId="10" borderId="20" xfId="0" applyFont="1" applyFill="1" applyBorder="1" applyAlignment="1">
      <alignment horizontal="center"/>
    </xf>
    <xf numFmtId="0" fontId="9" fillId="11" borderId="20" xfId="0" applyFont="1" applyFill="1" applyBorder="1" applyAlignment="1">
      <alignment horizontal="center"/>
    </xf>
    <xf numFmtId="0" fontId="9" fillId="12" borderId="20" xfId="0" applyFont="1" applyFill="1" applyBorder="1" applyAlignment="1">
      <alignment horizontal="center"/>
    </xf>
    <xf numFmtId="0" fontId="9" fillId="13" borderId="20" xfId="0" applyFont="1" applyFill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8" borderId="20" xfId="0" applyFont="1" applyFill="1" applyBorder="1" applyAlignment="1">
      <alignment horizontal="center"/>
    </xf>
    <xf numFmtId="0" fontId="4" fillId="9" borderId="20" xfId="0" applyFont="1" applyFill="1" applyBorder="1" applyAlignment="1">
      <alignment horizontal="center"/>
    </xf>
    <xf numFmtId="0" fontId="4" fillId="10" borderId="20" xfId="0" applyFont="1" applyFill="1" applyBorder="1" applyAlignment="1">
      <alignment horizontal="center"/>
    </xf>
    <xf numFmtId="0" fontId="4" fillId="11" borderId="20" xfId="0" applyFont="1" applyFill="1" applyBorder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4" fillId="13" borderId="20" xfId="0" applyFont="1" applyFill="1" applyBorder="1" applyAlignment="1">
      <alignment horizontal="center"/>
    </xf>
    <xf numFmtId="0" fontId="4" fillId="7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 vertical="center" wrapText="1"/>
    </xf>
    <xf numFmtId="0" fontId="4" fillId="10" borderId="20" xfId="0" applyFont="1" applyFill="1" applyBorder="1" applyAlignment="1">
      <alignment horizontal="center" vertical="center" wrapText="1"/>
    </xf>
    <xf numFmtId="0" fontId="4" fillId="11" borderId="20" xfId="0" applyFont="1" applyFill="1" applyBorder="1" applyAlignment="1">
      <alignment horizontal="center" vertical="center" wrapText="1"/>
    </xf>
    <xf numFmtId="0" fontId="4" fillId="12" borderId="20" xfId="0" applyFont="1" applyFill="1" applyBorder="1" applyAlignment="1">
      <alignment horizontal="center" vertical="center" wrapText="1"/>
    </xf>
    <xf numFmtId="0" fontId="4" fillId="13" borderId="20" xfId="0" applyFont="1" applyFill="1" applyBorder="1" applyAlignment="1">
      <alignment horizontal="center" wrapText="1"/>
    </xf>
    <xf numFmtId="0" fontId="4" fillId="7" borderId="20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1" fillId="0" borderId="0" xfId="0" applyFont="1"/>
    <xf numFmtId="0" fontId="4" fillId="14" borderId="0" xfId="0" applyFont="1" applyFill="1" applyAlignment="1">
      <alignment wrapText="1"/>
    </xf>
    <xf numFmtId="0" fontId="13" fillId="15" borderId="24" xfId="0" applyFont="1" applyFill="1" applyBorder="1"/>
    <xf numFmtId="0" fontId="11" fillId="0" borderId="25" xfId="0" applyFont="1" applyBorder="1"/>
    <xf numFmtId="0" fontId="4" fillId="12" borderId="27" xfId="0" applyFont="1" applyFill="1" applyBorder="1"/>
    <xf numFmtId="0" fontId="11" fillId="0" borderId="28" xfId="0" applyFont="1" applyBorder="1"/>
    <xf numFmtId="0" fontId="4" fillId="0" borderId="27" xfId="0" applyFont="1" applyBorder="1"/>
    <xf numFmtId="0" fontId="11" fillId="0" borderId="27" xfId="0" applyFont="1" applyBorder="1"/>
    <xf numFmtId="0" fontId="11" fillId="0" borderId="30" xfId="0" applyFont="1" applyBorder="1"/>
    <xf numFmtId="0" fontId="11" fillId="0" borderId="31" xfId="0" applyFont="1" applyBorder="1"/>
    <xf numFmtId="9" fontId="15" fillId="16" borderId="25" xfId="0" applyNumberFormat="1" applyFont="1" applyFill="1" applyBorder="1"/>
    <xf numFmtId="9" fontId="14" fillId="17" borderId="26" xfId="0" applyNumberFormat="1" applyFont="1" applyFill="1" applyBorder="1"/>
    <xf numFmtId="1" fontId="4" fillId="16" borderId="28" xfId="0" applyNumberFormat="1" applyFont="1" applyFill="1" applyBorder="1"/>
    <xf numFmtId="1" fontId="4" fillId="18" borderId="29" xfId="0" applyNumberFormat="1" applyFont="1" applyFill="1" applyBorder="1"/>
    <xf numFmtId="1" fontId="4" fillId="16" borderId="29" xfId="0" applyNumberFormat="1" applyFont="1" applyFill="1" applyBorder="1"/>
    <xf numFmtId="1" fontId="4" fillId="16" borderId="31" xfId="0" applyNumberFormat="1" applyFont="1" applyFill="1" applyBorder="1"/>
    <xf numFmtId="1" fontId="4" fillId="16" borderId="32" xfId="0" applyNumberFormat="1" applyFont="1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30" xfId="0" applyFill="1" applyBorder="1"/>
    <xf numFmtId="0" fontId="4" fillId="8" borderId="20" xfId="0" applyFont="1" applyFill="1" applyBorder="1" applyAlignment="1">
      <alignment horizontal="center" vertical="center" wrapText="1"/>
    </xf>
    <xf numFmtId="0" fontId="0" fillId="3" borderId="0" xfId="0" applyFill="1"/>
    <xf numFmtId="43" fontId="0" fillId="3" borderId="0" xfId="2" applyFont="1" applyFill="1" applyBorder="1"/>
    <xf numFmtId="0" fontId="16" fillId="2" borderId="0" xfId="0" applyFont="1" applyFill="1"/>
    <xf numFmtId="0" fontId="0" fillId="19" borderId="28" xfId="0" applyFill="1" applyBorder="1"/>
    <xf numFmtId="0" fontId="0" fillId="19" borderId="28" xfId="0" applyFill="1" applyBorder="1" applyAlignment="1">
      <alignment wrapText="1"/>
    </xf>
    <xf numFmtId="0" fontId="0" fillId="19" borderId="35" xfId="0" applyFill="1" applyBorder="1"/>
    <xf numFmtId="0" fontId="0" fillId="19" borderId="39" xfId="0" applyFill="1" applyBorder="1"/>
    <xf numFmtId="0" fontId="0" fillId="19" borderId="25" xfId="0" applyFill="1" applyBorder="1"/>
    <xf numFmtId="0" fontId="0" fillId="19" borderId="25" xfId="0" applyFill="1" applyBorder="1" applyAlignment="1">
      <alignment wrapText="1"/>
    </xf>
    <xf numFmtId="0" fontId="17" fillId="20" borderId="41" xfId="0" applyFont="1" applyFill="1" applyBorder="1"/>
    <xf numFmtId="0" fontId="17" fillId="20" borderId="42" xfId="0" applyFont="1" applyFill="1" applyBorder="1"/>
    <xf numFmtId="0" fontId="17" fillId="20" borderId="42" xfId="0" applyFont="1" applyFill="1" applyBorder="1" applyAlignment="1">
      <alignment wrapText="1"/>
    </xf>
    <xf numFmtId="0" fontId="0" fillId="2" borderId="0" xfId="0" applyFill="1"/>
    <xf numFmtId="0" fontId="16" fillId="2" borderId="0" xfId="0" applyFont="1" applyFill="1" applyAlignment="1">
      <alignment horizontal="left"/>
    </xf>
    <xf numFmtId="0" fontId="17" fillId="21" borderId="41" xfId="0" applyFont="1" applyFill="1" applyBorder="1"/>
    <xf numFmtId="0" fontId="17" fillId="21" borderId="42" xfId="0" applyFont="1" applyFill="1" applyBorder="1"/>
    <xf numFmtId="0" fontId="17" fillId="21" borderId="42" xfId="0" applyFont="1" applyFill="1" applyBorder="1" applyAlignment="1">
      <alignment wrapText="1"/>
    </xf>
    <xf numFmtId="0" fontId="0" fillId="22" borderId="39" xfId="0" applyFill="1" applyBorder="1"/>
    <xf numFmtId="0" fontId="0" fillId="22" borderId="25" xfId="0" applyFill="1" applyBorder="1"/>
    <xf numFmtId="0" fontId="0" fillId="22" borderId="25" xfId="0" applyFill="1" applyBorder="1" applyAlignment="1">
      <alignment wrapText="1"/>
    </xf>
    <xf numFmtId="0" fontId="0" fillId="22" borderId="35" xfId="0" applyFill="1" applyBorder="1"/>
    <xf numFmtId="0" fontId="0" fillId="22" borderId="28" xfId="0" applyFill="1" applyBorder="1"/>
    <xf numFmtId="0" fontId="0" fillId="22" borderId="28" xfId="0" applyFill="1" applyBorder="1" applyAlignment="1">
      <alignment wrapText="1"/>
    </xf>
    <xf numFmtId="0" fontId="0" fillId="22" borderId="37" xfId="0" applyFill="1" applyBorder="1"/>
    <xf numFmtId="0" fontId="0" fillId="22" borderId="31" xfId="0" applyFill="1" applyBorder="1"/>
    <xf numFmtId="0" fontId="0" fillId="22" borderId="31" xfId="0" applyFill="1" applyBorder="1" applyAlignment="1">
      <alignment wrapText="1"/>
    </xf>
    <xf numFmtId="0" fontId="0" fillId="19" borderId="44" xfId="0" applyFill="1" applyBorder="1"/>
    <xf numFmtId="0" fontId="0" fillId="19" borderId="45" xfId="0" applyFill="1" applyBorder="1"/>
    <xf numFmtId="0" fontId="0" fillId="19" borderId="45" xfId="0" applyFill="1" applyBorder="1" applyAlignment="1">
      <alignment wrapText="1"/>
    </xf>
    <xf numFmtId="0" fontId="17" fillId="21" borderId="43" xfId="0" applyFont="1" applyFill="1" applyBorder="1"/>
    <xf numFmtId="0" fontId="18" fillId="22" borderId="40" xfId="1" applyFont="1" applyFill="1" applyBorder="1" applyAlignment="1"/>
    <xf numFmtId="0" fontId="18" fillId="22" borderId="36" xfId="1" applyFont="1" applyFill="1" applyBorder="1" applyAlignment="1"/>
    <xf numFmtId="0" fontId="18" fillId="22" borderId="38" xfId="1" applyFont="1" applyFill="1" applyBorder="1" applyAlignment="1"/>
    <xf numFmtId="0" fontId="17" fillId="20" borderId="43" xfId="0" applyFont="1" applyFill="1" applyBorder="1"/>
    <xf numFmtId="0" fontId="0" fillId="19" borderId="40" xfId="0" applyFill="1" applyBorder="1"/>
    <xf numFmtId="0" fontId="0" fillId="19" borderId="36" xfId="0" applyFill="1" applyBorder="1"/>
    <xf numFmtId="0" fontId="0" fillId="19" borderId="46" xfId="0" applyFill="1" applyBorder="1"/>
    <xf numFmtId="0" fontId="0" fillId="19" borderId="6" xfId="0" applyFill="1" applyBorder="1"/>
    <xf numFmtId="0" fontId="0" fillId="19" borderId="7" xfId="0" applyFill="1" applyBorder="1"/>
    <xf numFmtId="0" fontId="0" fillId="19" borderId="7" xfId="0" applyFill="1" applyBorder="1" applyAlignment="1">
      <alignment wrapText="1"/>
    </xf>
    <xf numFmtId="0" fontId="0" fillId="19" borderId="11" xfId="0" applyFill="1" applyBorder="1"/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7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8" fillId="2" borderId="0" xfId="0" applyFont="1" applyFill="1" applyAlignment="1">
      <alignment horizontal="center" vertical="center"/>
    </xf>
    <xf numFmtId="0" fontId="0" fillId="3" borderId="6" xfId="0" applyFill="1" applyBorder="1" applyAlignment="1">
      <alignment horizontal="left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left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0" fillId="6" borderId="22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23" xfId="0" applyFont="1" applyFill="1" applyBorder="1" applyAlignment="1">
      <alignment horizontal="center"/>
    </xf>
    <xf numFmtId="0" fontId="12" fillId="16" borderId="0" xfId="0" applyFont="1" applyFill="1" applyAlignment="1">
      <alignment horizontal="center" vertical="center" wrapText="1"/>
    </xf>
    <xf numFmtId="0" fontId="4" fillId="14" borderId="0" xfId="0" applyFont="1" applyFill="1"/>
  </cellXfs>
  <cellStyles count="3">
    <cellStyle name="Comma" xfId="2" builtinId="3"/>
    <cellStyle name="Hyperlink" xfId="1" builtinId="8"/>
    <cellStyle name="Normal" xfId="0" builtinId="0"/>
  </cellStyles>
  <dxfs count="18">
    <dxf>
      <fill>
        <patternFill patternType="solid">
          <bgColor theme="0" tint="-4.9989318521683403E-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Calcolo massimali-style" pivot="0" count="3" xr9:uid="{A7256F9D-3A45-4603-8687-12F20EBF008D}"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LIVELLO ATTUALE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cat>
            <c:strRef>
              <c:f>'FOGLIO RECAP'!$B$15:$B$22</c:f>
              <c:strCache>
                <c:ptCount val="8"/>
                <c:pt idx="0">
                  <c:v>CAPAC. ANAEROBICA</c:v>
                </c:pt>
                <c:pt idx="1">
                  <c:v>RESISTENZA</c:v>
                </c:pt>
                <c:pt idx="2">
                  <c:v>FORZA PB</c:v>
                </c:pt>
                <c:pt idx="3">
                  <c:v>FORZA PA</c:v>
                </c:pt>
                <c:pt idx="4">
                  <c:v>VELOCITÀ</c:v>
                </c:pt>
                <c:pt idx="5">
                  <c:v>FORZA ESPLOSIVA</c:v>
                </c:pt>
                <c:pt idx="6">
                  <c:v>FASCIA</c:v>
                </c:pt>
                <c:pt idx="7">
                  <c:v>TECNICA</c:v>
                </c:pt>
              </c:strCache>
            </c:strRef>
          </c:cat>
          <c:val>
            <c:numRef>
              <c:f>'FOGLIO RECAP'!$C$15:$C$22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49CA-44A9-9679-2FF817C086BB}"/>
            </c:ext>
          </c:extLst>
        </c:ser>
        <c:ser>
          <c:idx val="1"/>
          <c:order val="1"/>
          <c:spPr>
            <a:solidFill>
              <a:schemeClr val="accent2">
                <a:alpha val="69804"/>
              </a:schemeClr>
            </a:solidFill>
            <a:ln w="9525" cap="flat" cmpd="sng" algn="ctr">
              <a:solidFill>
                <a:schemeClr val="accent2">
                  <a:alpha val="69804"/>
                </a:schemeClr>
              </a:solidFill>
              <a:miter lim="800000"/>
            </a:ln>
            <a:effectLst>
              <a:glow rad="76200">
                <a:schemeClr val="accent2">
                  <a:satMod val="175000"/>
                  <a:alpha val="34000"/>
                </a:schemeClr>
              </a:glow>
            </a:effectLst>
          </c:spPr>
          <c:cat>
            <c:strRef>
              <c:f>'FOGLIO RECAP'!$B$15:$B$22</c:f>
              <c:strCache>
                <c:ptCount val="8"/>
                <c:pt idx="0">
                  <c:v>CAPAC. ANAEROBICA</c:v>
                </c:pt>
                <c:pt idx="1">
                  <c:v>RESISTENZA</c:v>
                </c:pt>
                <c:pt idx="2">
                  <c:v>FORZA PB</c:v>
                </c:pt>
                <c:pt idx="3">
                  <c:v>FORZA PA</c:v>
                </c:pt>
                <c:pt idx="4">
                  <c:v>VELOCITÀ</c:v>
                </c:pt>
                <c:pt idx="5">
                  <c:v>FORZA ESPLOSIVA</c:v>
                </c:pt>
                <c:pt idx="6">
                  <c:v>FASCIA</c:v>
                </c:pt>
                <c:pt idx="7">
                  <c:v>TECNICA</c:v>
                </c:pt>
              </c:strCache>
            </c:strRef>
          </c:cat>
          <c:val>
            <c:numRef>
              <c:f>'FOGLIO RECAP'!$D$15:$D$22</c:f>
              <c:numCache>
                <c:formatCode>_(* #,##0.00_);_(* \(#,##0.00\);_(* "-"??_);_(@_)</c:formatCode>
                <c:ptCount val="8"/>
                <c:pt idx="0">
                  <c:v>80</c:v>
                </c:pt>
                <c:pt idx="1">
                  <c:v>75</c:v>
                </c:pt>
                <c:pt idx="2">
                  <c:v>84.919999999999987</c:v>
                </c:pt>
                <c:pt idx="3">
                  <c:v>84.777777777777786</c:v>
                </c:pt>
                <c:pt idx="4">
                  <c:v>80.357142857142861</c:v>
                </c:pt>
                <c:pt idx="5">
                  <c:v>85.837438423645324</c:v>
                </c:pt>
                <c:pt idx="6">
                  <c:v>91.666666666666671</c:v>
                </c:pt>
                <c:pt idx="7">
                  <c:v>83.152777777777771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A-44A9-9679-2FF817C08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634704"/>
        <c:axId val="914848927"/>
      </c:radarChart>
      <c:catAx>
        <c:axId val="99563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848927"/>
        <c:crosses val="autoZero"/>
        <c:auto val="1"/>
        <c:lblAlgn val="ctr"/>
        <c:lblOffset val="100"/>
        <c:noMultiLvlLbl val="0"/>
      </c:catAx>
      <c:valAx>
        <c:axId val="91484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3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LIVELLO ATTUALE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cat>
            <c:strRef>
              <c:f>'FOGLIO RECAP'!$B$37:$B$41</c:f>
              <c:strCache>
                <c:ptCount val="5"/>
                <c:pt idx="0">
                  <c:v>RESISTENZA</c:v>
                </c:pt>
                <c:pt idx="1">
                  <c:v>FORZA</c:v>
                </c:pt>
                <c:pt idx="2">
                  <c:v>VELOCITÀ</c:v>
                </c:pt>
                <c:pt idx="3">
                  <c:v>TECNICA</c:v>
                </c:pt>
                <c:pt idx="4">
                  <c:v>PREVENZIONE</c:v>
                </c:pt>
              </c:strCache>
            </c:strRef>
          </c:cat>
          <c:val>
            <c:numRef>
              <c:f>'FOGLIO RECAP'!$C$37:$C$41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D424-4289-B867-4FB44DB3F4E0}"/>
            </c:ext>
          </c:extLst>
        </c:ser>
        <c:ser>
          <c:idx val="1"/>
          <c:order val="1"/>
          <c:spPr>
            <a:solidFill>
              <a:schemeClr val="accent2">
                <a:alpha val="69804"/>
              </a:schemeClr>
            </a:solidFill>
            <a:ln w="9525" cap="flat" cmpd="sng" algn="ctr">
              <a:solidFill>
                <a:schemeClr val="accent2">
                  <a:alpha val="69804"/>
                </a:schemeClr>
              </a:solidFill>
              <a:miter lim="800000"/>
            </a:ln>
            <a:effectLst>
              <a:glow rad="76200">
                <a:schemeClr val="accent2">
                  <a:satMod val="175000"/>
                  <a:alpha val="34000"/>
                </a:schemeClr>
              </a:glow>
            </a:effectLst>
          </c:spPr>
          <c:cat>
            <c:strRef>
              <c:f>'FOGLIO RECAP'!$B$37:$B$41</c:f>
              <c:strCache>
                <c:ptCount val="5"/>
                <c:pt idx="0">
                  <c:v>RESISTENZA</c:v>
                </c:pt>
                <c:pt idx="1">
                  <c:v>FORZA</c:v>
                </c:pt>
                <c:pt idx="2">
                  <c:v>VELOCITÀ</c:v>
                </c:pt>
                <c:pt idx="3">
                  <c:v>TECNICA</c:v>
                </c:pt>
                <c:pt idx="4">
                  <c:v>PREVENZIONE</c:v>
                </c:pt>
              </c:strCache>
            </c:strRef>
          </c:cat>
          <c:val>
            <c:numRef>
              <c:f>'FOGLIO RECAP'!$D$37:$D$41</c:f>
              <c:numCache>
                <c:formatCode>_(* #,##0.00_);_(* \(#,##0.00\);_(* "-"??_);_(@_)</c:formatCode>
                <c:ptCount val="5"/>
                <c:pt idx="0">
                  <c:v>80</c:v>
                </c:pt>
                <c:pt idx="1">
                  <c:v>80.866666666666674</c:v>
                </c:pt>
                <c:pt idx="2">
                  <c:v>84.919999999999987</c:v>
                </c:pt>
                <c:pt idx="3">
                  <c:v>84.777777777777786</c:v>
                </c:pt>
                <c:pt idx="4">
                  <c:v>76.142857142857139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4-4289-B867-4FB44DB3F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634704"/>
        <c:axId val="914848927"/>
      </c:radarChart>
      <c:catAx>
        <c:axId val="99563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848927"/>
        <c:crosses val="autoZero"/>
        <c:auto val="1"/>
        <c:lblAlgn val="ctr"/>
        <c:lblOffset val="100"/>
        <c:noMultiLvlLbl val="0"/>
      </c:catAx>
      <c:valAx>
        <c:axId val="91484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3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6350</xdr:rowOff>
    </xdr:from>
    <xdr:to>
      <xdr:col>13</xdr:col>
      <xdr:colOff>596900</xdr:colOff>
      <xdr:row>31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E9E342-9E65-4594-8894-7813F5739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35</xdr:row>
      <xdr:rowOff>6350</xdr:rowOff>
    </xdr:from>
    <xdr:to>
      <xdr:col>13</xdr:col>
      <xdr:colOff>596900</xdr:colOff>
      <xdr:row>53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59D8F3-5CE6-4C69-890E-D9DAD0329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56561E-37CD-4A88-AEBF-0A08490F41E3}" name="Table_1" displayName="Table_1" ref="A2:K9" headerRowDxfId="14" totalsRowDxfId="11" headerRowBorderDxfId="13" tableBorderDxfId="12">
  <tableColumns count="11">
    <tableColumn id="1" xr3:uid="{128A41F4-AB48-40DD-9A4B-EF92490FD916}" name="ESERCIZIO" dataDxfId="10"/>
    <tableColumn id="2" xr3:uid="{4613F01A-85F9-4C7C-AF98-A1D25D1A17D2}" name="RIPETIZIONI" dataDxfId="9"/>
    <tableColumn id="3" xr3:uid="{8BFA5ABA-14C9-4A1A-9AF7-9000354A8107}" name="PESO (kg)" dataDxfId="8"/>
    <tableColumn id="4" xr3:uid="{66AB1AF9-5C48-492E-8298-490006F97926}" name="40%" dataDxfId="7">
      <calculatedColumnFormula>$K3*D$2</calculatedColumnFormula>
    </tableColumn>
    <tableColumn id="5" xr3:uid="{2AE2D4AC-CB6E-40B3-AA48-591BA91C2758}" name="50%" dataDxfId="6">
      <calculatedColumnFormula>$K3*E$2</calculatedColumnFormula>
    </tableColumn>
    <tableColumn id="6" xr3:uid="{2FFE35ED-EB6C-4EB1-A760-86AC559C46C1}" name="60%" dataDxfId="5">
      <calculatedColumnFormula>$K3*F$2</calculatedColumnFormula>
    </tableColumn>
    <tableColumn id="7" xr3:uid="{74629669-01A2-4838-B2C3-6329A1692820}" name="70%" dataDxfId="4">
      <calculatedColumnFormula>$K3*G$2</calculatedColumnFormula>
    </tableColumn>
    <tableColumn id="8" xr3:uid="{AE37832E-F5B2-4678-BB2C-CEFF3EDCC4F4}" name="80%" dataDxfId="3">
      <calculatedColumnFormula>$K3*H$2</calculatedColumnFormula>
    </tableColumn>
    <tableColumn id="9" xr3:uid="{CE653AD0-19D7-4BBE-AC48-921BA017EEAD}" name="85%" dataDxfId="2">
      <calculatedColumnFormula>$K3*I$2</calculatedColumnFormula>
    </tableColumn>
    <tableColumn id="10" xr3:uid="{F04390E2-F124-4524-A301-708C362325D4}" name="90%" dataDxfId="1">
      <calculatedColumnFormula>$K3*J$2</calculatedColumnFormula>
    </tableColumn>
    <tableColumn id="11" xr3:uid="{E4201E94-082D-49AE-A2AF-21ED657CE4E7}" name="100%" dataDxfId="0">
      <calculatedColumnFormula>C3/(1.0278-(0.0278*B3))</calculatedColumnFormula>
    </tableColumn>
  </tableColumns>
  <tableStyleInfo name="Calcolo massimali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be.com/shorts/a0iGmxKW4_0?feature=share" TargetMode="External"/><Relationship Id="rId18" Type="http://schemas.openxmlformats.org/officeDocument/2006/relationships/hyperlink" Target="https://youtube.com/shorts/kAnLd3sRhmA?feature=share" TargetMode="External"/><Relationship Id="rId26" Type="http://schemas.openxmlformats.org/officeDocument/2006/relationships/hyperlink" Target="https://youtube.com/shorts/_0TsEKkUqGw?feature=share" TargetMode="External"/><Relationship Id="rId39" Type="http://schemas.openxmlformats.org/officeDocument/2006/relationships/hyperlink" Target="https://youtube.com/shorts/XULlPKIbmco?feature=share" TargetMode="External"/><Relationship Id="rId21" Type="http://schemas.openxmlformats.org/officeDocument/2006/relationships/hyperlink" Target="https://youtube.com/shorts/FQPEqDy8IBI?feature=share" TargetMode="External"/><Relationship Id="rId34" Type="http://schemas.openxmlformats.org/officeDocument/2006/relationships/hyperlink" Target="https://youtube.com/shorts/ZdXn3VZVRRQ?feature=share" TargetMode="External"/><Relationship Id="rId42" Type="http://schemas.openxmlformats.org/officeDocument/2006/relationships/hyperlink" Target="https://youtube.com/shorts/C-c4opf8G3w?feature=share" TargetMode="External"/><Relationship Id="rId47" Type="http://schemas.openxmlformats.org/officeDocument/2006/relationships/hyperlink" Target="https://youtube.com/shorts/DYNC1VpmMrQ?feature=share" TargetMode="External"/><Relationship Id="rId50" Type="http://schemas.openxmlformats.org/officeDocument/2006/relationships/hyperlink" Target="https://youtube.com/shorts/S5JwmhB-rHc?feature=share" TargetMode="External"/><Relationship Id="rId55" Type="http://schemas.openxmlformats.org/officeDocument/2006/relationships/hyperlink" Target="https://youtube.com/shorts/MdrinUXALJQ?feature=share" TargetMode="External"/><Relationship Id="rId7" Type="http://schemas.openxmlformats.org/officeDocument/2006/relationships/hyperlink" Target="https://youtube.com/shorts/V5SVWUH1_50?feature=share" TargetMode="External"/><Relationship Id="rId2" Type="http://schemas.openxmlformats.org/officeDocument/2006/relationships/hyperlink" Target="https://youtube.com/shorts/1_TtKlvDeqk?feature=share" TargetMode="External"/><Relationship Id="rId16" Type="http://schemas.openxmlformats.org/officeDocument/2006/relationships/hyperlink" Target="https://youtube.com/shorts/C6Y0yEh4Ed4?feature=share" TargetMode="External"/><Relationship Id="rId29" Type="http://schemas.openxmlformats.org/officeDocument/2006/relationships/hyperlink" Target="https://youtube.com/shorts/WGePf1hZ7_I?feature=share" TargetMode="External"/><Relationship Id="rId11" Type="http://schemas.openxmlformats.org/officeDocument/2006/relationships/hyperlink" Target="https://youtube.com/shorts/RDCTvQKcmv0?feature=share" TargetMode="External"/><Relationship Id="rId24" Type="http://schemas.openxmlformats.org/officeDocument/2006/relationships/hyperlink" Target="https://youtube.com/shorts/Wx_d0y8iGxM?feature=share" TargetMode="External"/><Relationship Id="rId32" Type="http://schemas.openxmlformats.org/officeDocument/2006/relationships/hyperlink" Target="https://youtube.com/shorts/rleHrcL6teA?feature=share" TargetMode="External"/><Relationship Id="rId37" Type="http://schemas.openxmlformats.org/officeDocument/2006/relationships/hyperlink" Target="https://youtube.com/shorts/0vrnKZpOtPI?feature=share" TargetMode="External"/><Relationship Id="rId40" Type="http://schemas.openxmlformats.org/officeDocument/2006/relationships/hyperlink" Target="https://youtube.com/shorts/0SlsazXrDyI?feature=share" TargetMode="External"/><Relationship Id="rId45" Type="http://schemas.openxmlformats.org/officeDocument/2006/relationships/hyperlink" Target="https://youtube.com/shorts/PlxbyVU9fcg?feature=share" TargetMode="External"/><Relationship Id="rId53" Type="http://schemas.openxmlformats.org/officeDocument/2006/relationships/hyperlink" Target="https://youtube.com/shorts/pNlUIME0BEY?feature=share" TargetMode="External"/><Relationship Id="rId5" Type="http://schemas.openxmlformats.org/officeDocument/2006/relationships/hyperlink" Target="https://youtube.com/shorts/_0TsEKkUqGw?feature=share" TargetMode="External"/><Relationship Id="rId19" Type="http://schemas.openxmlformats.org/officeDocument/2006/relationships/hyperlink" Target="https://youtube.com/shorts/ruFaw3pDMGQ?feature=share" TargetMode="External"/><Relationship Id="rId4" Type="http://schemas.openxmlformats.org/officeDocument/2006/relationships/hyperlink" Target="https://youtube.com/shorts/rleHrcL6teA?feature=share" TargetMode="External"/><Relationship Id="rId9" Type="http://schemas.openxmlformats.org/officeDocument/2006/relationships/hyperlink" Target="https://youtube.com/shorts/P4H0NE-HCsE?feature=share" TargetMode="External"/><Relationship Id="rId14" Type="http://schemas.openxmlformats.org/officeDocument/2006/relationships/hyperlink" Target="https://youtube.com/shorts/VMULf9rZ4TE?feature=share" TargetMode="External"/><Relationship Id="rId22" Type="http://schemas.openxmlformats.org/officeDocument/2006/relationships/hyperlink" Target="https://youtube.com/shorts/nvENLHoWSR4?feature=share" TargetMode="External"/><Relationship Id="rId27" Type="http://schemas.openxmlformats.org/officeDocument/2006/relationships/hyperlink" Target="https://youtube.com/shorts/E87gS0QjGOw?feature=share" TargetMode="External"/><Relationship Id="rId30" Type="http://schemas.openxmlformats.org/officeDocument/2006/relationships/hyperlink" Target="https://youtube.com/shorts/nvENLHoWSR4?feature=share" TargetMode="External"/><Relationship Id="rId35" Type="http://schemas.openxmlformats.org/officeDocument/2006/relationships/hyperlink" Target="https://youtube.com/shorts/5M85J6mWKz4?feature=share" TargetMode="External"/><Relationship Id="rId43" Type="http://schemas.openxmlformats.org/officeDocument/2006/relationships/hyperlink" Target="https://youtube.com/shorts/d7jcWg62xSA?feature=share" TargetMode="External"/><Relationship Id="rId48" Type="http://schemas.openxmlformats.org/officeDocument/2006/relationships/hyperlink" Target="https://youtube.com/shorts/Cvm6NLHLLN8?feature=share" TargetMode="External"/><Relationship Id="rId56" Type="http://schemas.openxmlformats.org/officeDocument/2006/relationships/hyperlink" Target="https://youtube.com/shorts/zTiwvx20mYc?feature=share" TargetMode="External"/><Relationship Id="rId8" Type="http://schemas.openxmlformats.org/officeDocument/2006/relationships/hyperlink" Target="https://youtube.com/shorts/nvENLHoWSR4?feature=share" TargetMode="External"/><Relationship Id="rId51" Type="http://schemas.openxmlformats.org/officeDocument/2006/relationships/hyperlink" Target="https://youtube.com/shorts/yQkgT7OryWU?feature=share" TargetMode="External"/><Relationship Id="rId3" Type="http://schemas.openxmlformats.org/officeDocument/2006/relationships/hyperlink" Target="https://youtube.com/shorts/JctaRd1xxng" TargetMode="External"/><Relationship Id="rId12" Type="http://schemas.openxmlformats.org/officeDocument/2006/relationships/hyperlink" Target="https://youtube.com/shorts/2ABf__3KZP4?feature=share" TargetMode="External"/><Relationship Id="rId17" Type="http://schemas.openxmlformats.org/officeDocument/2006/relationships/hyperlink" Target="https://youtube.com/shorts/9_fCiuYPd1o?feature=share" TargetMode="External"/><Relationship Id="rId25" Type="http://schemas.openxmlformats.org/officeDocument/2006/relationships/hyperlink" Target="https://youtube.com/shorts/2-fkHNhdW4I?feature=share" TargetMode="External"/><Relationship Id="rId33" Type="http://schemas.openxmlformats.org/officeDocument/2006/relationships/hyperlink" Target="https://youtube.com/shorts/V5SVWUH1_50?feature=share" TargetMode="External"/><Relationship Id="rId38" Type="http://schemas.openxmlformats.org/officeDocument/2006/relationships/hyperlink" Target="https://youtube.com/shorts/SupJzuKhp54?feature=share" TargetMode="External"/><Relationship Id="rId46" Type="http://schemas.openxmlformats.org/officeDocument/2006/relationships/hyperlink" Target="https://youtube.com/shorts/8QW9vvVUFWE?feature=share" TargetMode="External"/><Relationship Id="rId20" Type="http://schemas.openxmlformats.org/officeDocument/2006/relationships/hyperlink" Target="https://youtube.com/shorts/9pLQwT8RuUc?feature=share" TargetMode="External"/><Relationship Id="rId41" Type="http://schemas.openxmlformats.org/officeDocument/2006/relationships/hyperlink" Target="https://youtube.com/shorts/Lbw-eJf6Jn4?feature=share" TargetMode="External"/><Relationship Id="rId54" Type="http://schemas.openxmlformats.org/officeDocument/2006/relationships/hyperlink" Target="https://youtube.com/shorts/MdrinUXALJQ?feature=share" TargetMode="External"/><Relationship Id="rId1" Type="http://schemas.openxmlformats.org/officeDocument/2006/relationships/hyperlink" Target="https://youtube.com/shorts/qW8YXLmdke0" TargetMode="External"/><Relationship Id="rId6" Type="http://schemas.openxmlformats.org/officeDocument/2006/relationships/hyperlink" Target="https://youtube.com/shorts/V805vZi3rLs?feature=share" TargetMode="External"/><Relationship Id="rId15" Type="http://schemas.openxmlformats.org/officeDocument/2006/relationships/hyperlink" Target="https://youtube.com/shorts/Xr7iEK_5HNQ?feature=share" TargetMode="External"/><Relationship Id="rId23" Type="http://schemas.openxmlformats.org/officeDocument/2006/relationships/hyperlink" Target="https://youtube.com/shorts/EuGsglumupM?feature=share" TargetMode="External"/><Relationship Id="rId28" Type="http://schemas.openxmlformats.org/officeDocument/2006/relationships/hyperlink" Target="https://youtube.com/shorts/Do1KR00uAqc?feature=share" TargetMode="External"/><Relationship Id="rId36" Type="http://schemas.openxmlformats.org/officeDocument/2006/relationships/hyperlink" Target="https://youtube.com/shorts/1vfkHZS5BUg?feature=share" TargetMode="External"/><Relationship Id="rId49" Type="http://schemas.openxmlformats.org/officeDocument/2006/relationships/hyperlink" Target="https://youtube.com/shorts/OeD5pWAeRFo?feature=share" TargetMode="External"/><Relationship Id="rId57" Type="http://schemas.openxmlformats.org/officeDocument/2006/relationships/hyperlink" Target="https://youtube.com/shorts/h-ii38OBuwk?feature=share" TargetMode="External"/><Relationship Id="rId10" Type="http://schemas.openxmlformats.org/officeDocument/2006/relationships/hyperlink" Target="https://youtube.com/shorts/De9Dl-RHKD0?feature=share" TargetMode="External"/><Relationship Id="rId31" Type="http://schemas.openxmlformats.org/officeDocument/2006/relationships/hyperlink" Target="https://youtube.com/shorts/jIdbGisRMV4?feature=share" TargetMode="External"/><Relationship Id="rId44" Type="http://schemas.openxmlformats.org/officeDocument/2006/relationships/hyperlink" Target="https://youtube.com/shorts/W3nXzeqQ5Mk?feature=share" TargetMode="External"/><Relationship Id="rId52" Type="http://schemas.openxmlformats.org/officeDocument/2006/relationships/hyperlink" Target="https://youtube.com/shorts/_mkVRSQ9_Qw?feature=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9099-F71F-40D6-8A3B-D44804F81209}">
  <dimension ref="B3:N54"/>
  <sheetViews>
    <sheetView view="pageLayout" zoomScaleNormal="100" workbookViewId="0">
      <selection activeCell="B3" sqref="B3:N6"/>
    </sheetView>
  </sheetViews>
  <sheetFormatPr defaultRowHeight="15" x14ac:dyDescent="0.25"/>
  <cols>
    <col min="1" max="1" width="2" customWidth="1"/>
    <col min="3" max="3" width="10.42578125" customWidth="1"/>
  </cols>
  <sheetData>
    <row r="3" spans="2:14" ht="15" customHeight="1" x14ac:dyDescent="0.25">
      <c r="B3" s="115" t="s">
        <v>153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</row>
    <row r="4" spans="2:14" ht="15" customHeight="1" x14ac:dyDescent="0.25"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</row>
    <row r="5" spans="2:14" ht="15" customHeight="1" x14ac:dyDescent="0.25"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</row>
    <row r="6" spans="2:14" ht="15" customHeight="1" x14ac:dyDescent="0.25"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</row>
    <row r="7" spans="2:14" ht="15" customHeight="1" thickBot="1" x14ac:dyDescent="0.3"/>
    <row r="8" spans="2:14" ht="15" customHeight="1" x14ac:dyDescent="0.25">
      <c r="B8" s="116" t="s">
        <v>154</v>
      </c>
      <c r="C8" s="111"/>
      <c r="D8" s="117"/>
      <c r="E8" s="118"/>
      <c r="F8" s="118"/>
      <c r="G8" s="118"/>
      <c r="H8" s="119"/>
      <c r="I8" s="111" t="s">
        <v>155</v>
      </c>
      <c r="J8" s="111"/>
      <c r="K8" s="111"/>
      <c r="L8" s="111"/>
      <c r="M8" s="111"/>
      <c r="N8" s="112"/>
    </row>
    <row r="9" spans="2:14" ht="15.75" thickBot="1" x14ac:dyDescent="0.3">
      <c r="B9" s="120" t="s">
        <v>156</v>
      </c>
      <c r="C9" s="113"/>
      <c r="D9" s="121"/>
      <c r="E9" s="122"/>
      <c r="F9" s="122"/>
      <c r="G9" s="122"/>
      <c r="H9" s="123"/>
      <c r="I9" s="113" t="s">
        <v>158</v>
      </c>
      <c r="J9" s="113"/>
      <c r="K9" s="113"/>
      <c r="L9" s="113"/>
      <c r="M9" s="113"/>
      <c r="N9" s="114"/>
    </row>
    <row r="10" spans="2:14" ht="15.75" thickBot="1" x14ac:dyDescent="0.3"/>
    <row r="11" spans="2:14" x14ac:dyDescent="0.25">
      <c r="B11" s="107" t="s">
        <v>157</v>
      </c>
      <c r="C11" s="108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2"/>
    </row>
    <row r="12" spans="2:14" ht="15.75" thickBot="1" x14ac:dyDescent="0.3">
      <c r="B12" s="109"/>
      <c r="C12" s="110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4"/>
    </row>
    <row r="13" spans="2:14" ht="15.75" thickBot="1" x14ac:dyDescent="0.3"/>
    <row r="14" spans="2:14" x14ac:dyDescent="0.25">
      <c r="B14" s="105" t="s">
        <v>321</v>
      </c>
      <c r="C14" s="106"/>
      <c r="D14" s="106"/>
      <c r="E14" s="106"/>
      <c r="F14" s="7"/>
      <c r="G14" s="7"/>
      <c r="H14" s="7"/>
      <c r="I14" s="7"/>
      <c r="J14" s="7"/>
      <c r="K14" s="7"/>
      <c r="L14" s="7"/>
      <c r="M14" s="7"/>
      <c r="N14" s="8"/>
    </row>
    <row r="15" spans="2:14" x14ac:dyDescent="0.25">
      <c r="B15" s="9" t="s">
        <v>225</v>
      </c>
      <c r="C15" s="60"/>
      <c r="D15" s="65">
        <f>AVERAGE(TEST!E7:E10)</f>
        <v>80</v>
      </c>
      <c r="E15" s="62"/>
      <c r="F15" s="64"/>
      <c r="G15" s="64"/>
      <c r="H15" s="64"/>
      <c r="I15" s="64"/>
      <c r="J15" s="64"/>
      <c r="K15" s="64"/>
      <c r="L15" s="64"/>
      <c r="M15" s="64"/>
      <c r="N15" s="10"/>
    </row>
    <row r="16" spans="2:14" x14ac:dyDescent="0.25">
      <c r="B16" s="9" t="s">
        <v>164</v>
      </c>
      <c r="C16" s="60"/>
      <c r="D16" s="65">
        <f>AVERAGE(TEST!E3:E4)</f>
        <v>75</v>
      </c>
      <c r="E16" s="60"/>
      <c r="F16" s="64"/>
      <c r="G16" s="64"/>
      <c r="H16" s="64"/>
      <c r="I16" s="64"/>
      <c r="J16" s="64"/>
      <c r="K16" s="64"/>
      <c r="L16" s="64"/>
      <c r="M16" s="64"/>
      <c r="N16" s="10"/>
    </row>
    <row r="17" spans="2:14" x14ac:dyDescent="0.25">
      <c r="B17" s="9" t="s">
        <v>176</v>
      </c>
      <c r="C17" s="60"/>
      <c r="D17" s="65">
        <f>AVERAGE(TEST!E13:E17)</f>
        <v>84.919999999999987</v>
      </c>
      <c r="E17" s="60"/>
      <c r="F17" s="64"/>
      <c r="G17" s="64"/>
      <c r="H17" s="64"/>
      <c r="I17" s="64"/>
      <c r="J17" s="64"/>
      <c r="K17" s="64"/>
      <c r="L17" s="64"/>
      <c r="M17" s="64"/>
      <c r="N17" s="10"/>
    </row>
    <row r="18" spans="2:14" x14ac:dyDescent="0.25">
      <c r="B18" s="9" t="s">
        <v>189</v>
      </c>
      <c r="C18" s="60"/>
      <c r="D18" s="65">
        <f>AVERAGE(TEST!E20:E22)</f>
        <v>84.777777777777786</v>
      </c>
      <c r="E18" s="60"/>
      <c r="F18" s="64"/>
      <c r="G18" s="64"/>
      <c r="H18" s="64"/>
      <c r="I18" s="64"/>
      <c r="J18" s="64"/>
      <c r="K18" s="64"/>
      <c r="L18" s="64"/>
      <c r="M18" s="64"/>
      <c r="N18" s="10"/>
    </row>
    <row r="19" spans="2:14" x14ac:dyDescent="0.25">
      <c r="B19" s="9" t="s">
        <v>299</v>
      </c>
      <c r="C19" s="60"/>
      <c r="D19" s="65">
        <f>AVERAGE(TEST!E25:E26)</f>
        <v>80.357142857142861</v>
      </c>
      <c r="E19" s="60"/>
      <c r="F19" s="64"/>
      <c r="G19" s="64"/>
      <c r="H19" s="64"/>
      <c r="I19" s="64"/>
      <c r="J19" s="64"/>
      <c r="K19" s="64"/>
      <c r="L19" s="64"/>
      <c r="M19" s="64"/>
      <c r="N19" s="10"/>
    </row>
    <row r="20" spans="2:14" x14ac:dyDescent="0.25">
      <c r="B20" s="9" t="s">
        <v>213</v>
      </c>
      <c r="C20" s="60"/>
      <c r="D20" s="65">
        <f>AVERAGE(TEST!E29:E31)</f>
        <v>85.837438423645324</v>
      </c>
      <c r="E20" s="60"/>
      <c r="F20" s="64"/>
      <c r="G20" s="64"/>
      <c r="H20" s="64"/>
      <c r="I20" s="64"/>
      <c r="J20" s="64"/>
      <c r="K20" s="64"/>
      <c r="L20" s="64"/>
      <c r="M20" s="64"/>
      <c r="N20" s="10"/>
    </row>
    <row r="21" spans="2:14" x14ac:dyDescent="0.25">
      <c r="B21" s="9" t="s">
        <v>237</v>
      </c>
      <c r="C21" s="60"/>
      <c r="D21" s="65">
        <f>AVERAGE(TEST!E34:E36)</f>
        <v>91.666666666666671</v>
      </c>
      <c r="E21" s="60"/>
      <c r="F21" s="64"/>
      <c r="G21" s="64"/>
      <c r="H21" s="64"/>
      <c r="I21" s="64"/>
      <c r="J21" s="64"/>
      <c r="K21" s="64"/>
      <c r="L21" s="64"/>
      <c r="M21" s="64"/>
      <c r="N21" s="10"/>
    </row>
    <row r="22" spans="2:14" x14ac:dyDescent="0.25">
      <c r="B22" s="9" t="s">
        <v>159</v>
      </c>
      <c r="C22" s="60"/>
      <c r="D22" s="65">
        <f>AVERAGE(TEST!E39:E46)</f>
        <v>83.152777777777771</v>
      </c>
      <c r="E22" s="60"/>
      <c r="F22" s="64"/>
      <c r="G22" s="64"/>
      <c r="H22" s="64"/>
      <c r="I22" s="64"/>
      <c r="J22" s="64"/>
      <c r="K22" s="64"/>
      <c r="L22" s="64"/>
      <c r="M22" s="64"/>
      <c r="N22" s="10"/>
    </row>
    <row r="23" spans="2:14" x14ac:dyDescent="0.25">
      <c r="B23" s="9"/>
      <c r="C23" s="60"/>
      <c r="D23" s="64"/>
      <c r="E23" s="60"/>
      <c r="F23" s="64"/>
      <c r="G23" s="64"/>
      <c r="H23" s="64"/>
      <c r="I23" s="64"/>
      <c r="J23" s="64"/>
      <c r="K23" s="64"/>
      <c r="L23" s="64"/>
      <c r="M23" s="64"/>
      <c r="N23" s="10"/>
    </row>
    <row r="24" spans="2:14" x14ac:dyDescent="0.25">
      <c r="B24" s="9"/>
      <c r="C24" s="60"/>
      <c r="D24" s="64"/>
      <c r="E24" s="60"/>
      <c r="F24" s="64"/>
      <c r="G24" s="64"/>
      <c r="H24" s="64"/>
      <c r="I24" s="64"/>
      <c r="J24" s="64"/>
      <c r="K24" s="64"/>
      <c r="L24" s="64"/>
      <c r="M24" s="64"/>
      <c r="N24" s="10"/>
    </row>
    <row r="25" spans="2:14" x14ac:dyDescent="0.25">
      <c r="B25" s="9"/>
      <c r="C25" s="60"/>
      <c r="D25" s="64"/>
      <c r="E25" s="60"/>
      <c r="F25" s="64"/>
      <c r="G25" s="64"/>
      <c r="H25" s="64"/>
      <c r="I25" s="64"/>
      <c r="J25" s="64"/>
      <c r="K25" s="64"/>
      <c r="L25" s="64"/>
      <c r="M25" s="64"/>
      <c r="N25" s="10"/>
    </row>
    <row r="26" spans="2:14" x14ac:dyDescent="0.25">
      <c r="B26" s="9"/>
      <c r="C26" s="60"/>
      <c r="D26" s="64"/>
      <c r="E26" s="60"/>
      <c r="F26" s="64"/>
      <c r="G26" s="64"/>
      <c r="H26" s="64"/>
      <c r="I26" s="64"/>
      <c r="J26" s="64"/>
      <c r="K26" s="64"/>
      <c r="L26" s="64"/>
      <c r="M26" s="64"/>
      <c r="N26" s="10"/>
    </row>
    <row r="27" spans="2:14" x14ac:dyDescent="0.25">
      <c r="B27" s="9"/>
      <c r="C27" s="60"/>
      <c r="D27" s="64"/>
      <c r="E27" s="60"/>
      <c r="F27" s="64"/>
      <c r="G27" s="64"/>
      <c r="H27" s="64"/>
      <c r="I27" s="64"/>
      <c r="J27" s="64"/>
      <c r="K27" s="64"/>
      <c r="L27" s="64"/>
      <c r="M27" s="64"/>
      <c r="N27" s="10"/>
    </row>
    <row r="28" spans="2:14" x14ac:dyDescent="0.25">
      <c r="B28" s="9"/>
      <c r="C28" s="60"/>
      <c r="D28" s="64"/>
      <c r="E28" s="60"/>
      <c r="F28" s="64"/>
      <c r="G28" s="64"/>
      <c r="H28" s="64"/>
      <c r="I28" s="64"/>
      <c r="J28" s="64"/>
      <c r="K28" s="64"/>
      <c r="L28" s="64"/>
      <c r="M28" s="64"/>
      <c r="N28" s="10"/>
    </row>
    <row r="29" spans="2:14" x14ac:dyDescent="0.25">
      <c r="B29" s="9"/>
      <c r="C29" s="60"/>
      <c r="D29" s="64"/>
      <c r="E29" s="60"/>
      <c r="F29" s="64"/>
      <c r="G29" s="64"/>
      <c r="H29" s="64"/>
      <c r="I29" s="64"/>
      <c r="J29" s="64"/>
      <c r="K29" s="64"/>
      <c r="L29" s="64"/>
      <c r="M29" s="64"/>
      <c r="N29" s="10"/>
    </row>
    <row r="30" spans="2:14" x14ac:dyDescent="0.25">
      <c r="B30" s="9"/>
      <c r="C30" s="60"/>
      <c r="D30" s="64"/>
      <c r="E30" s="60"/>
      <c r="F30" s="64"/>
      <c r="G30" s="64"/>
      <c r="H30" s="64"/>
      <c r="I30" s="64"/>
      <c r="J30" s="64"/>
      <c r="K30" s="64"/>
      <c r="L30" s="64"/>
      <c r="M30" s="64"/>
      <c r="N30" s="10"/>
    </row>
    <row r="31" spans="2:14" x14ac:dyDescent="0.25">
      <c r="B31" s="9"/>
      <c r="C31" s="60"/>
      <c r="D31" s="64"/>
      <c r="E31" s="60"/>
      <c r="F31" s="64"/>
      <c r="G31" s="64"/>
      <c r="H31" s="64"/>
      <c r="I31" s="64"/>
      <c r="J31" s="64"/>
      <c r="K31" s="64"/>
      <c r="L31" s="64"/>
      <c r="M31" s="64"/>
      <c r="N31" s="10"/>
    </row>
    <row r="32" spans="2:14" ht="15.75" thickBot="1" x14ac:dyDescent="0.3">
      <c r="B32" s="11"/>
      <c r="C32" s="61"/>
      <c r="D32" s="12"/>
      <c r="E32" s="61"/>
      <c r="F32" s="12"/>
      <c r="G32" s="12"/>
      <c r="H32" s="12"/>
      <c r="I32" s="12"/>
      <c r="J32" s="12"/>
      <c r="K32" s="12"/>
      <c r="L32" s="12"/>
      <c r="M32" s="12"/>
      <c r="N32" s="13"/>
    </row>
    <row r="35" spans="2:14" ht="15.75" thickBot="1" x14ac:dyDescent="0.3"/>
    <row r="36" spans="2:14" x14ac:dyDescent="0.25">
      <c r="B36" s="105" t="s">
        <v>322</v>
      </c>
      <c r="C36" s="106"/>
      <c r="D36" s="106"/>
      <c r="E36" s="106"/>
      <c r="F36" s="7"/>
      <c r="G36" s="7"/>
      <c r="H36" s="7"/>
      <c r="I36" s="7"/>
      <c r="J36" s="7"/>
      <c r="K36" s="7"/>
      <c r="L36" s="7"/>
      <c r="M36" s="7"/>
      <c r="N36" s="8"/>
    </row>
    <row r="37" spans="2:14" x14ac:dyDescent="0.25">
      <c r="B37" s="9" t="s">
        <v>164</v>
      </c>
      <c r="C37" s="60"/>
      <c r="D37" s="65">
        <f>AVERAGE(TEST!E7:E10,TEST!E7:E10)</f>
        <v>80</v>
      </c>
      <c r="E37" s="62"/>
      <c r="F37" s="64"/>
      <c r="G37" s="64"/>
      <c r="H37" s="64"/>
      <c r="I37" s="64"/>
      <c r="J37" s="64"/>
      <c r="K37" s="64"/>
      <c r="L37" s="64"/>
      <c r="M37" s="64"/>
      <c r="N37" s="10"/>
    </row>
    <row r="38" spans="2:14" x14ac:dyDescent="0.25">
      <c r="B38" s="9" t="s">
        <v>304</v>
      </c>
      <c r="C38" s="60"/>
      <c r="D38" s="65">
        <f>AVERAGE(TEST!E3:E4,TEST!E20:E22)</f>
        <v>80.866666666666674</v>
      </c>
      <c r="E38" s="60"/>
      <c r="F38" s="64"/>
      <c r="G38" s="64"/>
      <c r="H38" s="64"/>
      <c r="I38" s="64"/>
      <c r="J38" s="64"/>
      <c r="K38" s="64"/>
      <c r="L38" s="64"/>
      <c r="M38" s="64"/>
      <c r="N38" s="10"/>
    </row>
    <row r="39" spans="2:14" x14ac:dyDescent="0.25">
      <c r="B39" s="9" t="s">
        <v>299</v>
      </c>
      <c r="C39" s="60"/>
      <c r="D39" s="65">
        <f>AVERAGE(TEST!E13:E17)</f>
        <v>84.919999999999987</v>
      </c>
      <c r="E39" s="60"/>
      <c r="F39" s="64"/>
      <c r="G39" s="64"/>
      <c r="H39" s="64"/>
      <c r="I39" s="64"/>
      <c r="J39" s="64"/>
      <c r="K39" s="64"/>
      <c r="L39" s="64"/>
      <c r="M39" s="64"/>
      <c r="N39" s="10"/>
    </row>
    <row r="40" spans="2:14" x14ac:dyDescent="0.25">
      <c r="B40" s="9" t="s">
        <v>159</v>
      </c>
      <c r="C40" s="60"/>
      <c r="D40" s="65">
        <f>AVERAGE(TEST!E20:E22)</f>
        <v>84.777777777777786</v>
      </c>
      <c r="E40" s="60"/>
      <c r="F40" s="64"/>
      <c r="G40" s="64"/>
      <c r="H40" s="64"/>
      <c r="I40" s="64"/>
      <c r="J40" s="64"/>
      <c r="K40" s="64"/>
      <c r="L40" s="64"/>
      <c r="M40" s="64"/>
      <c r="N40" s="10"/>
    </row>
    <row r="41" spans="2:14" x14ac:dyDescent="0.25">
      <c r="B41" s="9" t="s">
        <v>305</v>
      </c>
      <c r="C41" s="60"/>
      <c r="D41" s="65">
        <f>AVERAGE(TEST!E25:E26,TEST!E8:E10)</f>
        <v>76.142857142857139</v>
      </c>
      <c r="E41" s="60"/>
      <c r="F41" s="64"/>
      <c r="G41" s="64"/>
      <c r="H41" s="64"/>
      <c r="I41" s="64"/>
      <c r="J41" s="64"/>
      <c r="K41" s="64"/>
      <c r="L41" s="64"/>
      <c r="M41" s="64"/>
      <c r="N41" s="10"/>
    </row>
    <row r="42" spans="2:14" x14ac:dyDescent="0.25">
      <c r="B42" s="9"/>
      <c r="C42" s="60"/>
      <c r="D42" s="65"/>
      <c r="E42" s="60"/>
      <c r="F42" s="64"/>
      <c r="G42" s="64"/>
      <c r="H42" s="64"/>
      <c r="I42" s="64"/>
      <c r="J42" s="64"/>
      <c r="K42" s="64"/>
      <c r="L42" s="64"/>
      <c r="M42" s="64"/>
      <c r="N42" s="10"/>
    </row>
    <row r="43" spans="2:14" x14ac:dyDescent="0.25">
      <c r="B43" s="9"/>
      <c r="C43" s="60"/>
      <c r="D43" s="65"/>
      <c r="E43" s="60"/>
      <c r="F43" s="64"/>
      <c r="G43" s="64"/>
      <c r="H43" s="64"/>
      <c r="I43" s="64"/>
      <c r="J43" s="64"/>
      <c r="K43" s="64"/>
      <c r="L43" s="64"/>
      <c r="M43" s="64"/>
      <c r="N43" s="10"/>
    </row>
    <row r="44" spans="2:14" x14ac:dyDescent="0.25">
      <c r="B44" s="9"/>
      <c r="C44" s="60"/>
      <c r="D44" s="65"/>
      <c r="E44" s="60"/>
      <c r="F44" s="64"/>
      <c r="G44" s="64"/>
      <c r="H44" s="64"/>
      <c r="I44" s="64"/>
      <c r="J44" s="64"/>
      <c r="K44" s="64"/>
      <c r="L44" s="64"/>
      <c r="M44" s="64"/>
      <c r="N44" s="10"/>
    </row>
    <row r="45" spans="2:14" x14ac:dyDescent="0.25">
      <c r="B45" s="9"/>
      <c r="C45" s="60"/>
      <c r="D45" s="64"/>
      <c r="E45" s="60"/>
      <c r="F45" s="64"/>
      <c r="G45" s="64"/>
      <c r="H45" s="64"/>
      <c r="I45" s="64"/>
      <c r="J45" s="64"/>
      <c r="K45" s="64"/>
      <c r="L45" s="64"/>
      <c r="M45" s="64"/>
      <c r="N45" s="10"/>
    </row>
    <row r="46" spans="2:14" x14ac:dyDescent="0.25">
      <c r="B46" s="9"/>
      <c r="C46" s="60"/>
      <c r="D46" s="64"/>
      <c r="E46" s="60"/>
      <c r="F46" s="64"/>
      <c r="G46" s="64"/>
      <c r="H46" s="64"/>
      <c r="I46" s="64"/>
      <c r="J46" s="64"/>
      <c r="K46" s="64"/>
      <c r="L46" s="64"/>
      <c r="M46" s="64"/>
      <c r="N46" s="10"/>
    </row>
    <row r="47" spans="2:14" x14ac:dyDescent="0.25">
      <c r="B47" s="9"/>
      <c r="C47" s="60"/>
      <c r="D47" s="64"/>
      <c r="E47" s="60"/>
      <c r="F47" s="64"/>
      <c r="G47" s="64"/>
      <c r="H47" s="64"/>
      <c r="I47" s="64"/>
      <c r="J47" s="64"/>
      <c r="K47" s="64"/>
      <c r="L47" s="64"/>
      <c r="M47" s="64"/>
      <c r="N47" s="10"/>
    </row>
    <row r="48" spans="2:14" x14ac:dyDescent="0.25">
      <c r="B48" s="9"/>
      <c r="C48" s="60"/>
      <c r="D48" s="64"/>
      <c r="E48" s="60"/>
      <c r="F48" s="64"/>
      <c r="G48" s="64"/>
      <c r="H48" s="64"/>
      <c r="I48" s="64"/>
      <c r="J48" s="64"/>
      <c r="K48" s="64"/>
      <c r="L48" s="64"/>
      <c r="M48" s="64"/>
      <c r="N48" s="10"/>
    </row>
    <row r="49" spans="2:14" x14ac:dyDescent="0.25">
      <c r="B49" s="9"/>
      <c r="C49" s="60"/>
      <c r="D49" s="64"/>
      <c r="E49" s="60"/>
      <c r="F49" s="64"/>
      <c r="G49" s="64"/>
      <c r="H49" s="64"/>
      <c r="I49" s="64"/>
      <c r="J49" s="64"/>
      <c r="K49" s="64"/>
      <c r="L49" s="64"/>
      <c r="M49" s="64"/>
      <c r="N49" s="10"/>
    </row>
    <row r="50" spans="2:14" x14ac:dyDescent="0.25">
      <c r="B50" s="9"/>
      <c r="C50" s="60"/>
      <c r="D50" s="64"/>
      <c r="E50" s="60"/>
      <c r="F50" s="64"/>
      <c r="G50" s="64"/>
      <c r="H50" s="64"/>
      <c r="I50" s="64"/>
      <c r="J50" s="64"/>
      <c r="K50" s="64"/>
      <c r="L50" s="64"/>
      <c r="M50" s="64"/>
      <c r="N50" s="10"/>
    </row>
    <row r="51" spans="2:14" x14ac:dyDescent="0.25">
      <c r="B51" s="9"/>
      <c r="C51" s="60"/>
      <c r="D51" s="64"/>
      <c r="E51" s="60"/>
      <c r="F51" s="64"/>
      <c r="G51" s="64"/>
      <c r="H51" s="64"/>
      <c r="I51" s="64"/>
      <c r="J51" s="64"/>
      <c r="K51" s="64"/>
      <c r="L51" s="64"/>
      <c r="M51" s="64"/>
      <c r="N51" s="10"/>
    </row>
    <row r="52" spans="2:14" x14ac:dyDescent="0.25">
      <c r="B52" s="9"/>
      <c r="C52" s="60"/>
      <c r="D52" s="64"/>
      <c r="E52" s="60"/>
      <c r="F52" s="64"/>
      <c r="G52" s="64"/>
      <c r="H52" s="64"/>
      <c r="I52" s="64"/>
      <c r="J52" s="64"/>
      <c r="K52" s="64"/>
      <c r="L52" s="64"/>
      <c r="M52" s="64"/>
      <c r="N52" s="10"/>
    </row>
    <row r="53" spans="2:14" x14ac:dyDescent="0.25">
      <c r="B53" s="9"/>
      <c r="C53" s="60"/>
      <c r="D53" s="64"/>
      <c r="E53" s="60"/>
      <c r="F53" s="64"/>
      <c r="G53" s="64"/>
      <c r="H53" s="64"/>
      <c r="I53" s="64"/>
      <c r="J53" s="64"/>
      <c r="K53" s="64"/>
      <c r="L53" s="64"/>
      <c r="M53" s="64"/>
      <c r="N53" s="10"/>
    </row>
    <row r="54" spans="2:14" ht="15.75" thickBot="1" x14ac:dyDescent="0.3">
      <c r="B54" s="11"/>
      <c r="C54" s="61"/>
      <c r="D54" s="12"/>
      <c r="E54" s="61"/>
      <c r="F54" s="12"/>
      <c r="G54" s="12"/>
      <c r="H54" s="12"/>
      <c r="I54" s="12"/>
      <c r="J54" s="12"/>
      <c r="K54" s="12"/>
      <c r="L54" s="12"/>
      <c r="M54" s="12"/>
      <c r="N54" s="13"/>
    </row>
  </sheetData>
  <mergeCells count="13">
    <mergeCell ref="B36:E36"/>
    <mergeCell ref="B11:C12"/>
    <mergeCell ref="D11:N12"/>
    <mergeCell ref="B14:E14"/>
    <mergeCell ref="B3:N6"/>
    <mergeCell ref="B8:C8"/>
    <mergeCell ref="D8:H8"/>
    <mergeCell ref="I8:J8"/>
    <mergeCell ref="K8:N8"/>
    <mergeCell ref="B9:C9"/>
    <mergeCell ref="D9:H9"/>
    <mergeCell ref="I9:J9"/>
    <mergeCell ref="K9:N9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389D-8546-42A8-8951-5E3A47ED2692}">
  <dimension ref="A1:Y65"/>
  <sheetViews>
    <sheetView view="pageLayout" topLeftCell="N1" zoomScale="70" zoomScaleNormal="100" zoomScalePageLayoutView="70" workbookViewId="0">
      <selection activeCell="V3" sqref="V3"/>
    </sheetView>
  </sheetViews>
  <sheetFormatPr defaultRowHeight="15" x14ac:dyDescent="0.25"/>
  <cols>
    <col min="1" max="1" width="29.28515625" bestFit="1" customWidth="1"/>
    <col min="2" max="2" width="13.42578125" customWidth="1"/>
    <col min="3" max="3" width="10.28515625" bestFit="1" customWidth="1"/>
    <col min="4" max="4" width="55.28515625" style="1" bestFit="1" customWidth="1"/>
    <col min="5" max="5" width="17.85546875" customWidth="1"/>
    <col min="6" max="6" width="28.85546875" customWidth="1"/>
    <col min="7" max="7" width="13.42578125" bestFit="1" customWidth="1"/>
    <col min="8" max="8" width="11" bestFit="1" customWidth="1"/>
    <col min="9" max="9" width="56.7109375" customWidth="1"/>
    <col min="10" max="10" width="15.140625" customWidth="1"/>
    <col min="11" max="11" width="27.7109375" customWidth="1"/>
    <col min="12" max="12" width="13.42578125" bestFit="1" customWidth="1"/>
    <col min="13" max="13" width="11" bestFit="1" customWidth="1"/>
    <col min="14" max="14" width="54.85546875" customWidth="1"/>
    <col min="15" max="15" width="17.85546875" customWidth="1"/>
    <col min="16" max="16" width="27.7109375" customWidth="1"/>
    <col min="17" max="17" width="19.28515625" bestFit="1" customWidth="1"/>
    <col min="18" max="18" width="16.5703125" bestFit="1" customWidth="1"/>
    <col min="19" max="19" width="45.42578125" customWidth="1"/>
    <col min="20" max="20" width="17.7109375" customWidth="1"/>
    <col min="21" max="21" width="27.7109375" customWidth="1"/>
    <col min="22" max="22" width="19.28515625" bestFit="1" customWidth="1"/>
    <col min="23" max="23" width="16.5703125" bestFit="1" customWidth="1"/>
    <col min="24" max="24" width="45.42578125" customWidth="1"/>
    <col min="25" max="25" width="17.7109375" customWidth="1"/>
  </cols>
  <sheetData>
    <row r="1" spans="1:25" ht="21" x14ac:dyDescent="0.35">
      <c r="A1" s="66" t="s">
        <v>311</v>
      </c>
      <c r="B1" s="77">
        <v>1</v>
      </c>
      <c r="C1" s="76"/>
      <c r="D1" s="66" t="s">
        <v>320</v>
      </c>
      <c r="E1" s="76"/>
      <c r="F1" s="66" t="s">
        <v>311</v>
      </c>
      <c r="G1" s="77">
        <v>1</v>
      </c>
      <c r="H1" s="76"/>
      <c r="I1" s="66" t="s">
        <v>320</v>
      </c>
      <c r="J1" s="76"/>
      <c r="K1" s="66" t="s">
        <v>311</v>
      </c>
      <c r="L1" s="77">
        <v>1</v>
      </c>
      <c r="M1" s="76"/>
      <c r="N1" s="66" t="s">
        <v>320</v>
      </c>
      <c r="O1" s="76"/>
      <c r="P1" s="66" t="s">
        <v>311</v>
      </c>
      <c r="Q1" s="77">
        <v>1</v>
      </c>
      <c r="R1" s="76"/>
      <c r="S1" s="66" t="s">
        <v>320</v>
      </c>
      <c r="T1" s="76"/>
      <c r="U1" s="66" t="s">
        <v>311</v>
      </c>
      <c r="V1" s="77">
        <v>1</v>
      </c>
      <c r="W1" s="76"/>
      <c r="X1" s="66" t="s">
        <v>320</v>
      </c>
      <c r="Y1" s="76"/>
    </row>
    <row r="2" spans="1:25" ht="21.75" thickBot="1" x14ac:dyDescent="0.4">
      <c r="A2" s="66" t="s">
        <v>312</v>
      </c>
      <c r="B2" s="77">
        <v>1</v>
      </c>
      <c r="C2" s="76"/>
      <c r="D2" s="66"/>
      <c r="E2" s="76"/>
      <c r="F2" s="66" t="s">
        <v>312</v>
      </c>
      <c r="G2" s="77">
        <v>2</v>
      </c>
      <c r="H2" s="76"/>
      <c r="I2" s="66"/>
      <c r="J2" s="76"/>
      <c r="K2" s="66" t="s">
        <v>312</v>
      </c>
      <c r="L2" s="77">
        <v>3</v>
      </c>
      <c r="M2" s="76"/>
      <c r="N2" s="66"/>
      <c r="O2" s="76"/>
      <c r="P2" s="66" t="s">
        <v>312</v>
      </c>
      <c r="Q2" s="77">
        <v>4</v>
      </c>
      <c r="R2" s="76"/>
      <c r="S2" s="66"/>
      <c r="T2" s="76"/>
      <c r="U2" s="66" t="s">
        <v>312</v>
      </c>
      <c r="V2" s="77">
        <v>5</v>
      </c>
      <c r="W2" s="76"/>
      <c r="X2" s="66"/>
      <c r="Y2" s="76"/>
    </row>
    <row r="3" spans="1:25" ht="15" customHeight="1" thickBot="1" x14ac:dyDescent="0.3">
      <c r="A3" s="78" t="s">
        <v>313</v>
      </c>
      <c r="B3" s="79" t="s">
        <v>319</v>
      </c>
      <c r="C3" s="79" t="s">
        <v>315</v>
      </c>
      <c r="D3" s="80" t="s">
        <v>316</v>
      </c>
      <c r="E3" s="93" t="s">
        <v>317</v>
      </c>
      <c r="F3" s="78" t="s">
        <v>313</v>
      </c>
      <c r="G3" s="79" t="s">
        <v>319</v>
      </c>
      <c r="H3" s="79" t="s">
        <v>315</v>
      </c>
      <c r="I3" s="80" t="s">
        <v>316</v>
      </c>
      <c r="J3" s="93" t="s">
        <v>317</v>
      </c>
      <c r="K3" s="78" t="s">
        <v>313</v>
      </c>
      <c r="L3" s="79" t="s">
        <v>319</v>
      </c>
      <c r="M3" s="79" t="s">
        <v>315</v>
      </c>
      <c r="N3" s="80" t="s">
        <v>316</v>
      </c>
      <c r="O3" s="93" t="s">
        <v>317</v>
      </c>
      <c r="P3" s="78" t="s">
        <v>313</v>
      </c>
      <c r="Q3" s="79" t="s">
        <v>319</v>
      </c>
      <c r="R3" s="79" t="s">
        <v>315</v>
      </c>
      <c r="S3" s="80" t="s">
        <v>316</v>
      </c>
      <c r="T3" s="93" t="s">
        <v>317</v>
      </c>
      <c r="U3" s="78" t="s">
        <v>313</v>
      </c>
      <c r="V3" s="79" t="s">
        <v>319</v>
      </c>
      <c r="W3" s="79" t="s">
        <v>315</v>
      </c>
      <c r="X3" s="80" t="s">
        <v>316</v>
      </c>
      <c r="Y3" s="93" t="s">
        <v>317</v>
      </c>
    </row>
    <row r="4" spans="1:25" ht="15" customHeight="1" x14ac:dyDescent="0.25">
      <c r="A4" s="81" t="s">
        <v>2</v>
      </c>
      <c r="B4" s="82"/>
      <c r="C4" s="82"/>
      <c r="D4" s="83" t="str">
        <f>IF($A4="","",VLOOKUP(A4,'DB ESERCIZI'!$B$2:$K$83,9,FALSE))</f>
        <v>esegui una retrazione del piede utilizzando un asciugamano</v>
      </c>
      <c r="E4" s="94" t="str">
        <f>IF($A4="","",HYPERLINK(VLOOKUP(A4,'DB ESERCIZI'!$B$2:$K$83,10,FALSE)))</f>
        <v>https://youtube.com/shorts/qW8YXLmdke0</v>
      </c>
      <c r="F4" s="81" t="s">
        <v>2</v>
      </c>
      <c r="G4" s="82"/>
      <c r="H4" s="82"/>
      <c r="I4" s="83" t="str">
        <f>IF($A4="","",VLOOKUP(F4,'DB ESERCIZI'!$B$2:$K$83,9,FALSE))</f>
        <v>esegui una retrazione del piede utilizzando un asciugamano</v>
      </c>
      <c r="J4" s="94" t="str">
        <f>IF($A4="","",HYPERLINK(VLOOKUP(F4,'DB ESERCIZI'!$B$2:$K$83,10,FALSE)))</f>
        <v>https://youtube.com/shorts/qW8YXLmdke0</v>
      </c>
      <c r="K4" s="81" t="s">
        <v>2</v>
      </c>
      <c r="L4" s="82"/>
      <c r="M4" s="82"/>
      <c r="N4" s="83" t="str">
        <f>IF($A4="","",VLOOKUP(K4,'DB ESERCIZI'!$B$2:$K$83,9,FALSE))</f>
        <v>esegui una retrazione del piede utilizzando un asciugamano</v>
      </c>
      <c r="O4" s="94" t="str">
        <f>IF($A4="","",HYPERLINK(VLOOKUP(K4,'DB ESERCIZI'!$B$2:$K$83,10,FALSE)))</f>
        <v>https://youtube.com/shorts/qW8YXLmdke0</v>
      </c>
      <c r="P4" s="81" t="s">
        <v>2</v>
      </c>
      <c r="Q4" s="82"/>
      <c r="R4" s="82"/>
      <c r="S4" s="83" t="str">
        <f>IF($A4="","",VLOOKUP(P4,'DB ESERCIZI'!$B$2:$K$83,9,FALSE))</f>
        <v>esegui una retrazione del piede utilizzando un asciugamano</v>
      </c>
      <c r="T4" s="94" t="str">
        <f>IF($A4="","",HYPERLINK(VLOOKUP(P4,'DB ESERCIZI'!$B$2:$K$83,10,FALSE)))</f>
        <v>https://youtube.com/shorts/qW8YXLmdke0</v>
      </c>
      <c r="U4" s="81" t="s">
        <v>2</v>
      </c>
      <c r="V4" s="82"/>
      <c r="W4" s="82"/>
      <c r="X4" s="83" t="str">
        <f>IF($A4="","",VLOOKUP(U4,'DB ESERCIZI'!$B$2:$K$83,9,FALSE))</f>
        <v>esegui una retrazione del piede utilizzando un asciugamano</v>
      </c>
      <c r="Y4" s="94" t="str">
        <f>IF($A4="","",HYPERLINK(VLOOKUP(U4,'DB ESERCIZI'!$B$2:$K$83,10,FALSE)))</f>
        <v>https://youtube.com/shorts/qW8YXLmdke0</v>
      </c>
    </row>
    <row r="5" spans="1:25" ht="15" customHeight="1" x14ac:dyDescent="0.25">
      <c r="A5" s="84" t="s">
        <v>2</v>
      </c>
      <c r="B5" s="85"/>
      <c r="C5" s="85"/>
      <c r="D5" s="86" t="str">
        <f>IF(A5="","",VLOOKUP(A5,'DB ESERCIZI'!$B$2:$K$83,9,FALSE))</f>
        <v>esegui una retrazione del piede utilizzando un asciugamano</v>
      </c>
      <c r="E5" s="95" t="str">
        <f>IF($A5="","",HYPERLINK(VLOOKUP(A5,'DB ESERCIZI'!$B$2:$K$83,10,FALSE)))</f>
        <v>https://youtube.com/shorts/qW8YXLmdke0</v>
      </c>
      <c r="F5" s="84" t="s">
        <v>2</v>
      </c>
      <c r="G5" s="85"/>
      <c r="H5" s="85"/>
      <c r="I5" s="86" t="str">
        <f>IF(F5="","",VLOOKUP(F5,'DB ESERCIZI'!$B$2:$K$83,9,FALSE))</f>
        <v>esegui una retrazione del piede utilizzando un asciugamano</v>
      </c>
      <c r="J5" s="95" t="str">
        <f>IF($A5="","",HYPERLINK(VLOOKUP(F5,'DB ESERCIZI'!$B$2:$K$83,10,FALSE)))</f>
        <v>https://youtube.com/shorts/qW8YXLmdke0</v>
      </c>
      <c r="K5" s="84" t="s">
        <v>2</v>
      </c>
      <c r="L5" s="85"/>
      <c r="M5" s="85"/>
      <c r="N5" s="86" t="str">
        <f>IF(K5="","",VLOOKUP(K5,'DB ESERCIZI'!$B$2:$K$83,9,FALSE))</f>
        <v>esegui una retrazione del piede utilizzando un asciugamano</v>
      </c>
      <c r="O5" s="95" t="str">
        <f>IF($A5="","",HYPERLINK(VLOOKUP(K5,'DB ESERCIZI'!$B$2:$K$83,10,FALSE)))</f>
        <v>https://youtube.com/shorts/qW8YXLmdke0</v>
      </c>
      <c r="P5" s="84" t="s">
        <v>2</v>
      </c>
      <c r="Q5" s="85"/>
      <c r="R5" s="85"/>
      <c r="S5" s="86" t="str">
        <f>IF(P5="","",VLOOKUP(P5,'DB ESERCIZI'!$B$2:$K$83,9,FALSE))</f>
        <v>esegui una retrazione del piede utilizzando un asciugamano</v>
      </c>
      <c r="T5" s="95" t="str">
        <f>IF($A5="","",HYPERLINK(VLOOKUP(P5,'DB ESERCIZI'!$B$2:$K$83,10,FALSE)))</f>
        <v>https://youtube.com/shorts/qW8YXLmdke0</v>
      </c>
      <c r="U5" s="84" t="s">
        <v>2</v>
      </c>
      <c r="V5" s="85"/>
      <c r="W5" s="85"/>
      <c r="X5" s="86" t="str">
        <f>IF(U5="","",VLOOKUP(U5,'DB ESERCIZI'!$B$2:$K$83,9,FALSE))</f>
        <v>esegui una retrazione del piede utilizzando un asciugamano</v>
      </c>
      <c r="Y5" s="95" t="str">
        <f>IF($A5="","",HYPERLINK(VLOOKUP(U5,'DB ESERCIZI'!$B$2:$K$83,10,FALSE)))</f>
        <v>https://youtube.com/shorts/qW8YXLmdke0</v>
      </c>
    </row>
    <row r="6" spans="1:25" ht="15" customHeight="1" x14ac:dyDescent="0.25">
      <c r="A6" s="84"/>
      <c r="B6" s="85"/>
      <c r="C6" s="85"/>
      <c r="D6" s="86" t="str">
        <f>IF(A6="","",VLOOKUP(A6,'DB ESERCIZI'!$B$2:$K$83,9,FALSE))</f>
        <v/>
      </c>
      <c r="E6" s="95" t="str">
        <f>IF($A6="","",HYPERLINK(VLOOKUP(A6,'DB ESERCIZI'!$B$2:$K$83,10,FALSE)))</f>
        <v/>
      </c>
      <c r="F6" s="84"/>
      <c r="G6" s="85"/>
      <c r="H6" s="85"/>
      <c r="I6" s="86" t="str">
        <f>IF(F6="","",VLOOKUP(F6,'DB ESERCIZI'!$B$2:$K$83,9,FALSE))</f>
        <v/>
      </c>
      <c r="J6" s="95" t="str">
        <f>IF($A6="","",HYPERLINK(VLOOKUP(F6,'DB ESERCIZI'!$B$2:$K$83,10,FALSE)))</f>
        <v/>
      </c>
      <c r="K6" s="84"/>
      <c r="L6" s="85"/>
      <c r="M6" s="85"/>
      <c r="N6" s="86" t="str">
        <f>IF(K6="","",VLOOKUP(K6,'DB ESERCIZI'!$B$2:$K$83,9,FALSE))</f>
        <v/>
      </c>
      <c r="O6" s="95" t="str">
        <f>IF($A6="","",HYPERLINK(VLOOKUP(K6,'DB ESERCIZI'!$B$2:$K$83,10,FALSE)))</f>
        <v/>
      </c>
      <c r="P6" s="84"/>
      <c r="Q6" s="85"/>
      <c r="R6" s="85"/>
      <c r="S6" s="86" t="str">
        <f>IF(P6="","",VLOOKUP(P6,'DB ESERCIZI'!$B$2:$K$83,9,FALSE))</f>
        <v/>
      </c>
      <c r="T6" s="95" t="str">
        <f>IF($A6="","",HYPERLINK(VLOOKUP(P6,'DB ESERCIZI'!$B$2:$K$83,10,FALSE)))</f>
        <v/>
      </c>
      <c r="U6" s="84"/>
      <c r="V6" s="85"/>
      <c r="W6" s="85"/>
      <c r="X6" s="86" t="str">
        <f>IF(U6="","",VLOOKUP(U6,'DB ESERCIZI'!$B$2:$K$83,9,FALSE))</f>
        <v/>
      </c>
      <c r="Y6" s="95" t="str">
        <f>IF($A6="","",HYPERLINK(VLOOKUP(U6,'DB ESERCIZI'!$B$2:$K$83,10,FALSE)))</f>
        <v/>
      </c>
    </row>
    <row r="7" spans="1:25" ht="15.75" thickBot="1" x14ac:dyDescent="0.3">
      <c r="A7" s="87"/>
      <c r="B7" s="88"/>
      <c r="C7" s="88"/>
      <c r="D7" s="89" t="str">
        <f>IF(A7="","",VLOOKUP(A7,'DB ESERCIZI'!$B$2:$K$83,9,FALSE))</f>
        <v/>
      </c>
      <c r="E7" s="96" t="str">
        <f>IF($A7="","",HYPERLINK(VLOOKUP(A7,'DB ESERCIZI'!$B$2:$K$83,10,FALSE)))</f>
        <v/>
      </c>
      <c r="F7" s="87"/>
      <c r="G7" s="88"/>
      <c r="H7" s="88"/>
      <c r="I7" s="89" t="str">
        <f>IF(F7="","",VLOOKUP(F7,'DB ESERCIZI'!$B$2:$K$83,9,FALSE))</f>
        <v/>
      </c>
      <c r="J7" s="96" t="str">
        <f>IF($A7="","",HYPERLINK(VLOOKUP(F7,'DB ESERCIZI'!$B$2:$K$83,10,FALSE)))</f>
        <v/>
      </c>
      <c r="K7" s="87"/>
      <c r="L7" s="88"/>
      <c r="M7" s="88"/>
      <c r="N7" s="89" t="str">
        <f>IF(K7="","",VLOOKUP(K7,'DB ESERCIZI'!$B$2:$K$83,9,FALSE))</f>
        <v/>
      </c>
      <c r="O7" s="96" t="str">
        <f>IF($A7="","",HYPERLINK(VLOOKUP(K7,'DB ESERCIZI'!$B$2:$K$83,10,FALSE)))</f>
        <v/>
      </c>
      <c r="P7" s="87"/>
      <c r="Q7" s="88"/>
      <c r="R7" s="88"/>
      <c r="S7" s="89" t="str">
        <f>IF(P7="","",VLOOKUP(P7,'DB ESERCIZI'!$B$2:$K$83,9,FALSE))</f>
        <v/>
      </c>
      <c r="T7" s="96" t="str">
        <f>IF($A7="","",HYPERLINK(VLOOKUP(P7,'DB ESERCIZI'!$B$2:$K$83,10,FALSE)))</f>
        <v/>
      </c>
      <c r="U7" s="87"/>
      <c r="V7" s="88"/>
      <c r="W7" s="88"/>
      <c r="X7" s="89" t="str">
        <f>IF(U7="","",VLOOKUP(U7,'DB ESERCIZI'!$B$2:$K$83,9,FALSE))</f>
        <v/>
      </c>
      <c r="Y7" s="96" t="str">
        <f>IF($A7="","",HYPERLINK(VLOOKUP(U7,'DB ESERCIZI'!$B$2:$K$83,10,FALSE)))</f>
        <v/>
      </c>
    </row>
    <row r="8" spans="1:25" ht="15.75" thickBot="1" x14ac:dyDescent="0.3">
      <c r="A8" s="73" t="s">
        <v>314</v>
      </c>
      <c r="B8" s="74" t="s">
        <v>319</v>
      </c>
      <c r="C8" s="74" t="s">
        <v>315</v>
      </c>
      <c r="D8" s="75" t="s">
        <v>316</v>
      </c>
      <c r="E8" s="97" t="s">
        <v>317</v>
      </c>
      <c r="F8" s="73" t="s">
        <v>314</v>
      </c>
      <c r="G8" s="74" t="s">
        <v>319</v>
      </c>
      <c r="H8" s="74" t="s">
        <v>315</v>
      </c>
      <c r="I8" s="75" t="s">
        <v>316</v>
      </c>
      <c r="J8" s="97" t="s">
        <v>317</v>
      </c>
      <c r="K8" s="73" t="s">
        <v>314</v>
      </c>
      <c r="L8" s="74" t="s">
        <v>319</v>
      </c>
      <c r="M8" s="74" t="s">
        <v>315</v>
      </c>
      <c r="N8" s="75" t="s">
        <v>316</v>
      </c>
      <c r="O8" s="97" t="s">
        <v>317</v>
      </c>
      <c r="P8" s="73" t="s">
        <v>314</v>
      </c>
      <c r="Q8" s="74" t="s">
        <v>319</v>
      </c>
      <c r="R8" s="74" t="s">
        <v>315</v>
      </c>
      <c r="S8" s="75" t="s">
        <v>316</v>
      </c>
      <c r="T8" s="97" t="s">
        <v>317</v>
      </c>
      <c r="U8" s="73" t="s">
        <v>314</v>
      </c>
      <c r="V8" s="74" t="s">
        <v>319</v>
      </c>
      <c r="W8" s="74" t="s">
        <v>315</v>
      </c>
      <c r="X8" s="75" t="s">
        <v>316</v>
      </c>
      <c r="Y8" s="97" t="s">
        <v>317</v>
      </c>
    </row>
    <row r="9" spans="1:25" x14ac:dyDescent="0.25">
      <c r="A9" s="70"/>
      <c r="B9" s="71"/>
      <c r="C9" s="71"/>
      <c r="D9" s="72" t="str">
        <f>IF($A9="","",VLOOKUP(A9,'DB ESERCIZI'!$B$2:$K$83,9,FALSE))</f>
        <v/>
      </c>
      <c r="E9" s="98" t="str">
        <f>IF($A9="","",HYPERLINK(VLOOKUP(A9,'DB ESERCIZI'!$B$2:$K$83,10,FALSE)))</f>
        <v/>
      </c>
      <c r="F9" s="70"/>
      <c r="G9" s="71"/>
      <c r="H9" s="71"/>
      <c r="I9" s="72" t="str">
        <f>IF($A9="","",VLOOKUP(F9,'DB ESERCIZI'!$B$2:$K$83,9,FALSE))</f>
        <v/>
      </c>
      <c r="J9" s="98" t="str">
        <f>IF($A9="","",HYPERLINK(VLOOKUP(F9,'DB ESERCIZI'!$B$2:$K$83,10,FALSE)))</f>
        <v/>
      </c>
      <c r="K9" s="70"/>
      <c r="L9" s="71"/>
      <c r="M9" s="71"/>
      <c r="N9" s="72" t="str">
        <f>IF($A9="","",VLOOKUP(K9,'DB ESERCIZI'!$B$2:$K$83,9,FALSE))</f>
        <v/>
      </c>
      <c r="O9" s="98" t="str">
        <f>IF($A9="","",HYPERLINK(VLOOKUP(K9,'DB ESERCIZI'!$B$2:$K$83,10,FALSE)))</f>
        <v/>
      </c>
      <c r="P9" s="70"/>
      <c r="Q9" s="71"/>
      <c r="R9" s="71"/>
      <c r="S9" s="72" t="str">
        <f>IF($A9="","",VLOOKUP(P9,'DB ESERCIZI'!$B$2:$K$83,9,FALSE))</f>
        <v/>
      </c>
      <c r="T9" s="98" t="str">
        <f>IF($A9="","",HYPERLINK(VLOOKUP(P9,'DB ESERCIZI'!$B$2:$K$83,10,FALSE)))</f>
        <v/>
      </c>
      <c r="U9" s="70"/>
      <c r="V9" s="71"/>
      <c r="W9" s="71"/>
      <c r="X9" s="72" t="str">
        <f>IF($A9="","",VLOOKUP(U9,'DB ESERCIZI'!$B$2:$K$83,9,FALSE))</f>
        <v/>
      </c>
      <c r="Y9" s="98" t="str">
        <f>IF($A9="","",HYPERLINK(VLOOKUP(U9,'DB ESERCIZI'!$B$2:$K$83,10,FALSE)))</f>
        <v/>
      </c>
    </row>
    <row r="10" spans="1:25" x14ac:dyDescent="0.25">
      <c r="A10" s="69"/>
      <c r="B10" s="67"/>
      <c r="C10" s="67"/>
      <c r="D10" s="72" t="str">
        <f>IF($A10="","",VLOOKUP(A10,'DB ESERCIZI'!$B$2:$K$83,9,FALSE))</f>
        <v/>
      </c>
      <c r="E10" s="98" t="str">
        <f>IF($A10="","",HYPERLINK(VLOOKUP(A10,'DB ESERCIZI'!$B$2:$K$83,10,FALSE)))</f>
        <v/>
      </c>
      <c r="F10" s="69"/>
      <c r="G10" s="67"/>
      <c r="H10" s="67"/>
      <c r="I10" s="72" t="str">
        <f>IF($A10="","",VLOOKUP(F10,'DB ESERCIZI'!$B$2:$K$83,9,FALSE))</f>
        <v/>
      </c>
      <c r="J10" s="98" t="str">
        <f>IF($A10="","",HYPERLINK(VLOOKUP(F10,'DB ESERCIZI'!$B$2:$K$83,10,FALSE)))</f>
        <v/>
      </c>
      <c r="K10" s="69"/>
      <c r="L10" s="67"/>
      <c r="M10" s="67"/>
      <c r="N10" s="72" t="str">
        <f>IF($A10="","",VLOOKUP(K10,'DB ESERCIZI'!$B$2:$K$83,9,FALSE))</f>
        <v/>
      </c>
      <c r="O10" s="98" t="str">
        <f>IF($A10="","",HYPERLINK(VLOOKUP(K10,'DB ESERCIZI'!$B$2:$K$83,10,FALSE)))</f>
        <v/>
      </c>
      <c r="P10" s="69"/>
      <c r="Q10" s="67"/>
      <c r="R10" s="67"/>
      <c r="S10" s="72" t="str">
        <f>IF($A10="","",VLOOKUP(P10,'DB ESERCIZI'!$B$2:$K$83,9,FALSE))</f>
        <v/>
      </c>
      <c r="T10" s="98" t="str">
        <f>IF($A10="","",HYPERLINK(VLOOKUP(P10,'DB ESERCIZI'!$B$2:$K$83,10,FALSE)))</f>
        <v/>
      </c>
      <c r="U10" s="69"/>
      <c r="V10" s="67"/>
      <c r="W10" s="67"/>
      <c r="X10" s="72" t="str">
        <f>IF($A10="","",VLOOKUP(U10,'DB ESERCIZI'!$B$2:$K$83,9,FALSE))</f>
        <v/>
      </c>
      <c r="Y10" s="98" t="str">
        <f>IF($A10="","",HYPERLINK(VLOOKUP(U10,'DB ESERCIZI'!$B$2:$K$83,10,FALSE)))</f>
        <v/>
      </c>
    </row>
    <row r="11" spans="1:25" x14ac:dyDescent="0.25">
      <c r="A11" s="69"/>
      <c r="B11" s="67"/>
      <c r="C11" s="67"/>
      <c r="D11" s="72" t="str">
        <f>IF($A11="","",VLOOKUP(A11,'DB ESERCIZI'!$B$2:$K$83,9,FALSE))</f>
        <v/>
      </c>
      <c r="E11" s="98" t="str">
        <f>IF($A11="","",HYPERLINK(VLOOKUP(A11,'DB ESERCIZI'!$B$2:$K$83,10,FALSE)))</f>
        <v/>
      </c>
      <c r="F11" s="69"/>
      <c r="G11" s="67"/>
      <c r="H11" s="67"/>
      <c r="I11" s="72" t="str">
        <f>IF($A11="","",VLOOKUP(F11,'DB ESERCIZI'!$B$2:$K$83,9,FALSE))</f>
        <v/>
      </c>
      <c r="J11" s="98" t="str">
        <f>IF($A11="","",HYPERLINK(VLOOKUP(F11,'DB ESERCIZI'!$B$2:$K$83,10,FALSE)))</f>
        <v/>
      </c>
      <c r="K11" s="69"/>
      <c r="L11" s="67"/>
      <c r="M11" s="67"/>
      <c r="N11" s="72" t="str">
        <f>IF($A11="","",VLOOKUP(K11,'DB ESERCIZI'!$B$2:$K$83,9,FALSE))</f>
        <v/>
      </c>
      <c r="O11" s="98" t="str">
        <f>IF($A11="","",HYPERLINK(VLOOKUP(K11,'DB ESERCIZI'!$B$2:$K$83,10,FALSE)))</f>
        <v/>
      </c>
      <c r="P11" s="69"/>
      <c r="Q11" s="67"/>
      <c r="R11" s="67"/>
      <c r="S11" s="72" t="str">
        <f>IF($A11="","",VLOOKUP(P11,'DB ESERCIZI'!$B$2:$K$83,9,FALSE))</f>
        <v/>
      </c>
      <c r="T11" s="98" t="str">
        <f>IF($A11="","",HYPERLINK(VLOOKUP(P11,'DB ESERCIZI'!$B$2:$K$83,10,FALSE)))</f>
        <v/>
      </c>
      <c r="U11" s="69"/>
      <c r="V11" s="67"/>
      <c r="W11" s="67"/>
      <c r="X11" s="72" t="str">
        <f>IF($A11="","",VLOOKUP(U11,'DB ESERCIZI'!$B$2:$K$83,9,FALSE))</f>
        <v/>
      </c>
      <c r="Y11" s="98" t="str">
        <f>IF($A11="","",HYPERLINK(VLOOKUP(U11,'DB ESERCIZI'!$B$2:$K$83,10,FALSE)))</f>
        <v/>
      </c>
    </row>
    <row r="12" spans="1:25" x14ac:dyDescent="0.25">
      <c r="A12" s="69"/>
      <c r="B12" s="67"/>
      <c r="C12" s="67"/>
      <c r="D12" s="72" t="str">
        <f>IF($A12="","",VLOOKUP(A12,'DB ESERCIZI'!$B$2:$K$83,9,FALSE))</f>
        <v/>
      </c>
      <c r="E12" s="98" t="str">
        <f>IF($A12="","",HYPERLINK(VLOOKUP(A12,'DB ESERCIZI'!$B$2:$K$83,10,FALSE)))</f>
        <v/>
      </c>
      <c r="F12" s="69"/>
      <c r="G12" s="67"/>
      <c r="H12" s="67"/>
      <c r="I12" s="72" t="str">
        <f>IF($A12="","",VLOOKUP(F12,'DB ESERCIZI'!$B$2:$K$83,9,FALSE))</f>
        <v/>
      </c>
      <c r="J12" s="98" t="str">
        <f>IF($A12="","",HYPERLINK(VLOOKUP(F12,'DB ESERCIZI'!$B$2:$K$83,10,FALSE)))</f>
        <v/>
      </c>
      <c r="K12" s="69"/>
      <c r="L12" s="67"/>
      <c r="M12" s="67"/>
      <c r="N12" s="72" t="str">
        <f>IF($A12="","",VLOOKUP(K12,'DB ESERCIZI'!$B$2:$K$83,9,FALSE))</f>
        <v/>
      </c>
      <c r="O12" s="98" t="str">
        <f>IF($A12="","",HYPERLINK(VLOOKUP(K12,'DB ESERCIZI'!$B$2:$K$83,10,FALSE)))</f>
        <v/>
      </c>
      <c r="P12" s="69"/>
      <c r="Q12" s="67"/>
      <c r="R12" s="67"/>
      <c r="S12" s="72" t="str">
        <f>IF($A12="","",VLOOKUP(P12,'DB ESERCIZI'!$B$2:$K$83,9,FALSE))</f>
        <v/>
      </c>
      <c r="T12" s="98" t="str">
        <f>IF($A12="","",HYPERLINK(VLOOKUP(P12,'DB ESERCIZI'!$B$2:$K$83,10,FALSE)))</f>
        <v/>
      </c>
      <c r="U12" s="69"/>
      <c r="V12" s="67"/>
      <c r="W12" s="67"/>
      <c r="X12" s="72" t="str">
        <f>IF($A12="","",VLOOKUP(U12,'DB ESERCIZI'!$B$2:$K$83,9,FALSE))</f>
        <v/>
      </c>
      <c r="Y12" s="98" t="str">
        <f>IF($A12="","",HYPERLINK(VLOOKUP(U12,'DB ESERCIZI'!$B$2:$K$83,10,FALSE)))</f>
        <v/>
      </c>
    </row>
    <row r="13" spans="1:25" x14ac:dyDescent="0.25">
      <c r="A13" s="69"/>
      <c r="B13" s="67"/>
      <c r="C13" s="67"/>
      <c r="D13" s="72" t="str">
        <f>IF($A13="","",VLOOKUP(A13,'DB ESERCIZI'!$B$2:$K$83,9,FALSE))</f>
        <v/>
      </c>
      <c r="E13" s="98" t="str">
        <f>IF($A13="","",HYPERLINK(VLOOKUP(A13,'DB ESERCIZI'!$B$2:$K$83,10,FALSE)))</f>
        <v/>
      </c>
      <c r="F13" s="69"/>
      <c r="G13" s="67"/>
      <c r="H13" s="67"/>
      <c r="I13" s="72" t="str">
        <f>IF($A13="","",VLOOKUP(F13,'DB ESERCIZI'!$B$2:$K$83,9,FALSE))</f>
        <v/>
      </c>
      <c r="J13" s="98" t="str">
        <f>IF($A13="","",HYPERLINK(VLOOKUP(F13,'DB ESERCIZI'!$B$2:$K$83,10,FALSE)))</f>
        <v/>
      </c>
      <c r="K13" s="69"/>
      <c r="L13" s="67"/>
      <c r="M13" s="67"/>
      <c r="N13" s="72" t="str">
        <f>IF($A13="","",VLOOKUP(K13,'DB ESERCIZI'!$B$2:$K$83,9,FALSE))</f>
        <v/>
      </c>
      <c r="O13" s="98" t="str">
        <f>IF($A13="","",HYPERLINK(VLOOKUP(K13,'DB ESERCIZI'!$B$2:$K$83,10,FALSE)))</f>
        <v/>
      </c>
      <c r="P13" s="69"/>
      <c r="Q13" s="67"/>
      <c r="R13" s="67"/>
      <c r="S13" s="72" t="str">
        <f>IF($A13="","",VLOOKUP(P13,'DB ESERCIZI'!$B$2:$K$83,9,FALSE))</f>
        <v/>
      </c>
      <c r="T13" s="98" t="str">
        <f>IF($A13="","",HYPERLINK(VLOOKUP(P13,'DB ESERCIZI'!$B$2:$K$83,10,FALSE)))</f>
        <v/>
      </c>
      <c r="U13" s="69"/>
      <c r="V13" s="67"/>
      <c r="W13" s="67"/>
      <c r="X13" s="72" t="str">
        <f>IF($A13="","",VLOOKUP(U13,'DB ESERCIZI'!$B$2:$K$83,9,FALSE))</f>
        <v/>
      </c>
      <c r="Y13" s="98" t="str">
        <f>IF($A13="","",HYPERLINK(VLOOKUP(U13,'DB ESERCIZI'!$B$2:$K$83,10,FALSE)))</f>
        <v/>
      </c>
    </row>
    <row r="14" spans="1:25" x14ac:dyDescent="0.25">
      <c r="A14" s="69"/>
      <c r="B14" s="67"/>
      <c r="C14" s="67"/>
      <c r="D14" s="72" t="str">
        <f>IF($A14="","",VLOOKUP(A14,'DB ESERCIZI'!$B$2:$K$83,9,FALSE))</f>
        <v/>
      </c>
      <c r="E14" s="98" t="str">
        <f>IF($A14="","",HYPERLINK(VLOOKUP(A14,'DB ESERCIZI'!$B$2:$K$83,10,FALSE)))</f>
        <v/>
      </c>
      <c r="F14" s="69"/>
      <c r="G14" s="67"/>
      <c r="H14" s="67"/>
      <c r="I14" s="72" t="str">
        <f>IF($A14="","",VLOOKUP(F14,'DB ESERCIZI'!$B$2:$K$83,9,FALSE))</f>
        <v/>
      </c>
      <c r="J14" s="98" t="str">
        <f>IF($A14="","",HYPERLINK(VLOOKUP(F14,'DB ESERCIZI'!$B$2:$K$83,10,FALSE)))</f>
        <v/>
      </c>
      <c r="K14" s="69"/>
      <c r="L14" s="67"/>
      <c r="M14" s="67"/>
      <c r="N14" s="72" t="str">
        <f>IF($A14="","",VLOOKUP(K14,'DB ESERCIZI'!$B$2:$K$83,9,FALSE))</f>
        <v/>
      </c>
      <c r="O14" s="98" t="str">
        <f>IF($A14="","",HYPERLINK(VLOOKUP(K14,'DB ESERCIZI'!$B$2:$K$83,10,FALSE)))</f>
        <v/>
      </c>
      <c r="P14" s="69"/>
      <c r="Q14" s="67"/>
      <c r="R14" s="67"/>
      <c r="S14" s="72" t="str">
        <f>IF($A14="","",VLOOKUP(P14,'DB ESERCIZI'!$B$2:$K$83,9,FALSE))</f>
        <v/>
      </c>
      <c r="T14" s="98" t="str">
        <f>IF($A14="","",HYPERLINK(VLOOKUP(P14,'DB ESERCIZI'!$B$2:$K$83,10,FALSE)))</f>
        <v/>
      </c>
      <c r="U14" s="69"/>
      <c r="V14" s="67"/>
      <c r="W14" s="67"/>
      <c r="X14" s="72" t="str">
        <f>IF($A14="","",VLOOKUP(U14,'DB ESERCIZI'!$B$2:$K$83,9,FALSE))</f>
        <v/>
      </c>
      <c r="Y14" s="98" t="str">
        <f>IF($A14="","",HYPERLINK(VLOOKUP(U14,'DB ESERCIZI'!$B$2:$K$83,10,FALSE)))</f>
        <v/>
      </c>
    </row>
    <row r="15" spans="1:25" x14ac:dyDescent="0.25">
      <c r="A15" s="69"/>
      <c r="B15" s="67"/>
      <c r="C15" s="67"/>
      <c r="D15" s="72" t="str">
        <f>IF($A15="","",VLOOKUP(A15,'DB ESERCIZI'!$B$2:$K$83,9,FALSE))</f>
        <v/>
      </c>
      <c r="E15" s="98" t="str">
        <f>IF($A15="","",HYPERLINK(VLOOKUP(A15,'DB ESERCIZI'!$B$2:$K$83,10,FALSE)))</f>
        <v/>
      </c>
      <c r="F15" s="69"/>
      <c r="G15" s="67"/>
      <c r="H15" s="67"/>
      <c r="I15" s="72" t="str">
        <f>IF($A15="","",VLOOKUP(F15,'DB ESERCIZI'!$B$2:$K$83,9,FALSE))</f>
        <v/>
      </c>
      <c r="J15" s="98" t="str">
        <f>IF($A15="","",HYPERLINK(VLOOKUP(F15,'DB ESERCIZI'!$B$2:$K$83,10,FALSE)))</f>
        <v/>
      </c>
      <c r="K15" s="69"/>
      <c r="L15" s="67"/>
      <c r="M15" s="67"/>
      <c r="N15" s="72" t="str">
        <f>IF($A15="","",VLOOKUP(K15,'DB ESERCIZI'!$B$2:$K$83,9,FALSE))</f>
        <v/>
      </c>
      <c r="O15" s="98" t="str">
        <f>IF($A15="","",HYPERLINK(VLOOKUP(K15,'DB ESERCIZI'!$B$2:$K$83,10,FALSE)))</f>
        <v/>
      </c>
      <c r="P15" s="69"/>
      <c r="Q15" s="67"/>
      <c r="R15" s="67"/>
      <c r="S15" s="72" t="str">
        <f>IF($A15="","",VLOOKUP(P15,'DB ESERCIZI'!$B$2:$K$83,9,FALSE))</f>
        <v/>
      </c>
      <c r="T15" s="98" t="str">
        <f>IF($A15="","",HYPERLINK(VLOOKUP(P15,'DB ESERCIZI'!$B$2:$K$83,10,FALSE)))</f>
        <v/>
      </c>
      <c r="U15" s="69"/>
      <c r="V15" s="67"/>
      <c r="W15" s="67"/>
      <c r="X15" s="72" t="str">
        <f>IF($A15="","",VLOOKUP(U15,'DB ESERCIZI'!$B$2:$K$83,9,FALSE))</f>
        <v/>
      </c>
      <c r="Y15" s="98" t="str">
        <f>IF($A15="","",HYPERLINK(VLOOKUP(U15,'DB ESERCIZI'!$B$2:$K$83,10,FALSE)))</f>
        <v/>
      </c>
    </row>
    <row r="16" spans="1:25" x14ac:dyDescent="0.25">
      <c r="A16" s="69"/>
      <c r="B16" s="67"/>
      <c r="C16" s="67"/>
      <c r="D16" s="72" t="str">
        <f>IF($A16="","",VLOOKUP(A16,'DB ESERCIZI'!$B$2:$K$83,9,FALSE))</f>
        <v/>
      </c>
      <c r="E16" s="98" t="str">
        <f>IF($A16="","",HYPERLINK(VLOOKUP(A16,'DB ESERCIZI'!$B$2:$K$83,10,FALSE)))</f>
        <v/>
      </c>
      <c r="F16" s="69"/>
      <c r="G16" s="67"/>
      <c r="H16" s="67"/>
      <c r="I16" s="72" t="str">
        <f>IF($A16="","",VLOOKUP(F16,'DB ESERCIZI'!$B$2:$K$83,9,FALSE))</f>
        <v/>
      </c>
      <c r="J16" s="98" t="str">
        <f>IF($A16="","",HYPERLINK(VLOOKUP(F16,'DB ESERCIZI'!$B$2:$K$83,10,FALSE)))</f>
        <v/>
      </c>
      <c r="K16" s="69"/>
      <c r="L16" s="67"/>
      <c r="M16" s="67"/>
      <c r="N16" s="72" t="str">
        <f>IF($A16="","",VLOOKUP(K16,'DB ESERCIZI'!$B$2:$K$83,9,FALSE))</f>
        <v/>
      </c>
      <c r="O16" s="98" t="str">
        <f>IF($A16="","",HYPERLINK(VLOOKUP(K16,'DB ESERCIZI'!$B$2:$K$83,10,FALSE)))</f>
        <v/>
      </c>
      <c r="P16" s="69"/>
      <c r="Q16" s="67"/>
      <c r="R16" s="67"/>
      <c r="S16" s="72" t="str">
        <f>IF($A16="","",VLOOKUP(P16,'DB ESERCIZI'!$B$2:$K$83,9,FALSE))</f>
        <v/>
      </c>
      <c r="T16" s="98" t="str">
        <f>IF($A16="","",HYPERLINK(VLOOKUP(P16,'DB ESERCIZI'!$B$2:$K$83,10,FALSE)))</f>
        <v/>
      </c>
      <c r="U16" s="69"/>
      <c r="V16" s="67"/>
      <c r="W16" s="67"/>
      <c r="X16" s="72" t="str">
        <f>IF($A16="","",VLOOKUP(U16,'DB ESERCIZI'!$B$2:$K$83,9,FALSE))</f>
        <v/>
      </c>
      <c r="Y16" s="98" t="str">
        <f>IF($A16="","",HYPERLINK(VLOOKUP(U16,'DB ESERCIZI'!$B$2:$K$83,10,FALSE)))</f>
        <v/>
      </c>
    </row>
    <row r="17" spans="1:25" x14ac:dyDescent="0.25">
      <c r="A17" s="69"/>
      <c r="B17" s="67"/>
      <c r="C17" s="67"/>
      <c r="D17" s="72" t="str">
        <f>IF($A17="","",VLOOKUP(A17,'DB ESERCIZI'!$B$2:$K$83,9,FALSE))</f>
        <v/>
      </c>
      <c r="E17" s="98" t="str">
        <f>IF($A17="","",HYPERLINK(VLOOKUP(A17,'DB ESERCIZI'!$B$2:$K$83,10,FALSE)))</f>
        <v/>
      </c>
      <c r="F17" s="69"/>
      <c r="G17" s="67"/>
      <c r="H17" s="67"/>
      <c r="I17" s="72" t="str">
        <f>IF($A17="","",VLOOKUP(F17,'DB ESERCIZI'!$B$2:$K$83,9,FALSE))</f>
        <v/>
      </c>
      <c r="J17" s="98" t="str">
        <f>IF($A17="","",HYPERLINK(VLOOKUP(F17,'DB ESERCIZI'!$B$2:$K$83,10,FALSE)))</f>
        <v/>
      </c>
      <c r="K17" s="69"/>
      <c r="L17" s="67"/>
      <c r="M17" s="67"/>
      <c r="N17" s="72" t="str">
        <f>IF($A17="","",VLOOKUP(K17,'DB ESERCIZI'!$B$2:$K$83,9,FALSE))</f>
        <v/>
      </c>
      <c r="O17" s="98" t="str">
        <f>IF($A17="","",HYPERLINK(VLOOKUP(K17,'DB ESERCIZI'!$B$2:$K$83,10,FALSE)))</f>
        <v/>
      </c>
      <c r="P17" s="69"/>
      <c r="Q17" s="67"/>
      <c r="R17" s="67"/>
      <c r="S17" s="72" t="str">
        <f>IF($A17="","",VLOOKUP(P17,'DB ESERCIZI'!$B$2:$K$83,9,FALSE))</f>
        <v/>
      </c>
      <c r="T17" s="98" t="str">
        <f>IF($A17="","",HYPERLINK(VLOOKUP(P17,'DB ESERCIZI'!$B$2:$K$83,10,FALSE)))</f>
        <v/>
      </c>
      <c r="U17" s="69"/>
      <c r="V17" s="67"/>
      <c r="W17" s="67"/>
      <c r="X17" s="72" t="str">
        <f>IF($A17="","",VLOOKUP(U17,'DB ESERCIZI'!$B$2:$K$83,9,FALSE))</f>
        <v/>
      </c>
      <c r="Y17" s="98" t="str">
        <f>IF($A17="","",HYPERLINK(VLOOKUP(U17,'DB ESERCIZI'!$B$2:$K$83,10,FALSE)))</f>
        <v/>
      </c>
    </row>
    <row r="18" spans="1:25" x14ac:dyDescent="0.25">
      <c r="A18" s="69"/>
      <c r="B18" s="67"/>
      <c r="C18" s="67"/>
      <c r="D18" s="72" t="str">
        <f>IF($A18="","",VLOOKUP(A18,'DB ESERCIZI'!$B$2:$K$83,9,FALSE))</f>
        <v/>
      </c>
      <c r="E18" s="98" t="str">
        <f>IF($A18="","",HYPERLINK(VLOOKUP(A18,'DB ESERCIZI'!$B$2:$K$83,10,FALSE)))</f>
        <v/>
      </c>
      <c r="F18" s="69"/>
      <c r="G18" s="67"/>
      <c r="H18" s="67"/>
      <c r="I18" s="72" t="str">
        <f>IF($A18="","",VLOOKUP(F18,'DB ESERCIZI'!$B$2:$K$83,9,FALSE))</f>
        <v/>
      </c>
      <c r="J18" s="98" t="str">
        <f>IF($A18="","",HYPERLINK(VLOOKUP(F18,'DB ESERCIZI'!$B$2:$K$83,10,FALSE)))</f>
        <v/>
      </c>
      <c r="K18" s="69"/>
      <c r="L18" s="67"/>
      <c r="M18" s="67"/>
      <c r="N18" s="72" t="str">
        <f>IF($A18="","",VLOOKUP(K18,'DB ESERCIZI'!$B$2:$K$83,9,FALSE))</f>
        <v/>
      </c>
      <c r="O18" s="98" t="str">
        <f>IF($A18="","",HYPERLINK(VLOOKUP(K18,'DB ESERCIZI'!$B$2:$K$83,10,FALSE)))</f>
        <v/>
      </c>
      <c r="P18" s="69"/>
      <c r="Q18" s="67"/>
      <c r="R18" s="67"/>
      <c r="S18" s="72" t="str">
        <f>IF($A18="","",VLOOKUP(P18,'DB ESERCIZI'!$B$2:$K$83,9,FALSE))</f>
        <v/>
      </c>
      <c r="T18" s="98" t="str">
        <f>IF($A18="","",HYPERLINK(VLOOKUP(P18,'DB ESERCIZI'!$B$2:$K$83,10,FALSE)))</f>
        <v/>
      </c>
      <c r="U18" s="69"/>
      <c r="V18" s="67"/>
      <c r="W18" s="67"/>
      <c r="X18" s="72" t="str">
        <f>IF($A18="","",VLOOKUP(U18,'DB ESERCIZI'!$B$2:$K$83,9,FALSE))</f>
        <v/>
      </c>
      <c r="Y18" s="98" t="str">
        <f>IF($A18="","",HYPERLINK(VLOOKUP(U18,'DB ESERCIZI'!$B$2:$K$83,10,FALSE)))</f>
        <v/>
      </c>
    </row>
    <row r="19" spans="1:25" x14ac:dyDescent="0.25">
      <c r="A19" s="69"/>
      <c r="B19" s="67"/>
      <c r="C19" s="67"/>
      <c r="D19" s="72" t="str">
        <f>IF($A19="","",VLOOKUP(A19,'DB ESERCIZI'!$B$2:$K$83,9,FALSE))</f>
        <v/>
      </c>
      <c r="E19" s="98" t="str">
        <f>IF($A19="","",HYPERLINK(VLOOKUP(A19,'DB ESERCIZI'!$B$2:$K$83,10,FALSE)))</f>
        <v/>
      </c>
      <c r="F19" s="69"/>
      <c r="G19" s="67"/>
      <c r="H19" s="67"/>
      <c r="I19" s="72" t="str">
        <f>IF($A19="","",VLOOKUP(F19,'DB ESERCIZI'!$B$2:$K$83,9,FALSE))</f>
        <v/>
      </c>
      <c r="J19" s="98" t="str">
        <f>IF($A19="","",HYPERLINK(VLOOKUP(F19,'DB ESERCIZI'!$B$2:$K$83,10,FALSE)))</f>
        <v/>
      </c>
      <c r="K19" s="69"/>
      <c r="L19" s="67"/>
      <c r="M19" s="67"/>
      <c r="N19" s="72" t="str">
        <f>IF($A19="","",VLOOKUP(K19,'DB ESERCIZI'!$B$2:$K$83,9,FALSE))</f>
        <v/>
      </c>
      <c r="O19" s="98" t="str">
        <f>IF($A19="","",HYPERLINK(VLOOKUP(K19,'DB ESERCIZI'!$B$2:$K$83,10,FALSE)))</f>
        <v/>
      </c>
      <c r="P19" s="69"/>
      <c r="Q19" s="67"/>
      <c r="R19" s="67"/>
      <c r="S19" s="72" t="str">
        <f>IF($A19="","",VLOOKUP(P19,'DB ESERCIZI'!$B$2:$K$83,9,FALSE))</f>
        <v/>
      </c>
      <c r="T19" s="98" t="str">
        <f>IF($A19="","",HYPERLINK(VLOOKUP(P19,'DB ESERCIZI'!$B$2:$K$83,10,FALSE)))</f>
        <v/>
      </c>
      <c r="U19" s="69"/>
      <c r="V19" s="67"/>
      <c r="W19" s="67"/>
      <c r="X19" s="72" t="str">
        <f>IF($A19="","",VLOOKUP(U19,'DB ESERCIZI'!$B$2:$K$83,9,FALSE))</f>
        <v/>
      </c>
      <c r="Y19" s="98" t="str">
        <f>IF($A19="","",HYPERLINK(VLOOKUP(U19,'DB ESERCIZI'!$B$2:$K$83,10,FALSE)))</f>
        <v/>
      </c>
    </row>
    <row r="20" spans="1:25" x14ac:dyDescent="0.25">
      <c r="A20" s="69"/>
      <c r="B20" s="67"/>
      <c r="C20" s="67"/>
      <c r="D20" s="72" t="str">
        <f>IF($A20="","",VLOOKUP(A20,'DB ESERCIZI'!$B$2:$K$83,9,FALSE))</f>
        <v/>
      </c>
      <c r="E20" s="98" t="str">
        <f>IF($A20="","",HYPERLINK(VLOOKUP(A20,'DB ESERCIZI'!$B$2:$K$83,10,FALSE)))</f>
        <v/>
      </c>
      <c r="F20" s="69"/>
      <c r="G20" s="67"/>
      <c r="H20" s="67"/>
      <c r="I20" s="72" t="str">
        <f>IF($A20="","",VLOOKUP(F20,'DB ESERCIZI'!$B$2:$K$83,9,FALSE))</f>
        <v/>
      </c>
      <c r="J20" s="98" t="str">
        <f>IF($A20="","",HYPERLINK(VLOOKUP(F20,'DB ESERCIZI'!$B$2:$K$83,10,FALSE)))</f>
        <v/>
      </c>
      <c r="K20" s="69"/>
      <c r="L20" s="67"/>
      <c r="M20" s="67"/>
      <c r="N20" s="72" t="str">
        <f>IF($A20="","",VLOOKUP(K20,'DB ESERCIZI'!$B$2:$K$83,9,FALSE))</f>
        <v/>
      </c>
      <c r="O20" s="98" t="str">
        <f>IF($A20="","",HYPERLINK(VLOOKUP(K20,'DB ESERCIZI'!$B$2:$K$83,10,FALSE)))</f>
        <v/>
      </c>
      <c r="P20" s="69"/>
      <c r="Q20" s="67"/>
      <c r="R20" s="67"/>
      <c r="S20" s="72" t="str">
        <f>IF($A20="","",VLOOKUP(P20,'DB ESERCIZI'!$B$2:$K$83,9,FALSE))</f>
        <v/>
      </c>
      <c r="T20" s="98" t="str">
        <f>IF($A20="","",HYPERLINK(VLOOKUP(P20,'DB ESERCIZI'!$B$2:$K$83,10,FALSE)))</f>
        <v/>
      </c>
      <c r="U20" s="69"/>
      <c r="V20" s="67"/>
      <c r="W20" s="67"/>
      <c r="X20" s="72" t="str">
        <f>IF($A20="","",VLOOKUP(U20,'DB ESERCIZI'!$B$2:$K$83,9,FALSE))</f>
        <v/>
      </c>
      <c r="Y20" s="98" t="str">
        <f>IF($A20="","",HYPERLINK(VLOOKUP(U20,'DB ESERCIZI'!$B$2:$K$83,10,FALSE)))</f>
        <v/>
      </c>
    </row>
    <row r="21" spans="1:25" x14ac:dyDescent="0.25">
      <c r="A21" s="69"/>
      <c r="B21" s="67"/>
      <c r="C21" s="67"/>
      <c r="D21" s="72" t="str">
        <f>IF($A21="","",VLOOKUP(A21,'DB ESERCIZI'!$B$2:$K$83,9,FALSE))</f>
        <v/>
      </c>
      <c r="E21" s="98" t="str">
        <f>IF($A21="","",HYPERLINK(VLOOKUP(A21,'DB ESERCIZI'!$B$2:$K$83,10,FALSE)))</f>
        <v/>
      </c>
      <c r="F21" s="69"/>
      <c r="G21" s="67"/>
      <c r="H21" s="67"/>
      <c r="I21" s="72" t="str">
        <f>IF($A21="","",VLOOKUP(F21,'DB ESERCIZI'!$B$2:$K$83,9,FALSE))</f>
        <v/>
      </c>
      <c r="J21" s="98" t="str">
        <f>IF($A21="","",HYPERLINK(VLOOKUP(F21,'DB ESERCIZI'!$B$2:$K$83,10,FALSE)))</f>
        <v/>
      </c>
      <c r="K21" s="69"/>
      <c r="L21" s="67"/>
      <c r="M21" s="67"/>
      <c r="N21" s="72" t="str">
        <f>IF($A21="","",VLOOKUP(K21,'DB ESERCIZI'!$B$2:$K$83,9,FALSE))</f>
        <v/>
      </c>
      <c r="O21" s="98" t="str">
        <f>IF($A21="","",HYPERLINK(VLOOKUP(K21,'DB ESERCIZI'!$B$2:$K$83,10,FALSE)))</f>
        <v/>
      </c>
      <c r="P21" s="69"/>
      <c r="Q21" s="67"/>
      <c r="R21" s="67"/>
      <c r="S21" s="72" t="str">
        <f>IF($A21="","",VLOOKUP(P21,'DB ESERCIZI'!$B$2:$K$83,9,FALSE))</f>
        <v/>
      </c>
      <c r="T21" s="98" t="str">
        <f>IF($A21="","",HYPERLINK(VLOOKUP(P21,'DB ESERCIZI'!$B$2:$K$83,10,FALSE)))</f>
        <v/>
      </c>
      <c r="U21" s="69"/>
      <c r="V21" s="67"/>
      <c r="W21" s="67"/>
      <c r="X21" s="72" t="str">
        <f>IF($A21="","",VLOOKUP(U21,'DB ESERCIZI'!$B$2:$K$83,9,FALSE))</f>
        <v/>
      </c>
      <c r="Y21" s="98" t="str">
        <f>IF($A21="","",HYPERLINK(VLOOKUP(U21,'DB ESERCIZI'!$B$2:$K$83,10,FALSE)))</f>
        <v/>
      </c>
    </row>
    <row r="22" spans="1:25" x14ac:dyDescent="0.25">
      <c r="A22" s="69"/>
      <c r="B22" s="67"/>
      <c r="C22" s="67"/>
      <c r="D22" s="72" t="str">
        <f>IF($A22="","",VLOOKUP(A22,'DB ESERCIZI'!$B$2:$K$83,9,FALSE))</f>
        <v/>
      </c>
      <c r="E22" s="98" t="str">
        <f>IF($A22="","",HYPERLINK(VLOOKUP(A22,'DB ESERCIZI'!$B$2:$K$83,10,FALSE)))</f>
        <v/>
      </c>
      <c r="F22" s="69"/>
      <c r="G22" s="67"/>
      <c r="H22" s="67"/>
      <c r="I22" s="72" t="str">
        <f>IF($A22="","",VLOOKUP(F22,'DB ESERCIZI'!$B$2:$K$83,9,FALSE))</f>
        <v/>
      </c>
      <c r="J22" s="98" t="str">
        <f>IF($A22="","",HYPERLINK(VLOOKUP(F22,'DB ESERCIZI'!$B$2:$K$83,10,FALSE)))</f>
        <v/>
      </c>
      <c r="K22" s="69"/>
      <c r="L22" s="67"/>
      <c r="M22" s="67"/>
      <c r="N22" s="72" t="str">
        <f>IF($A22="","",VLOOKUP(K22,'DB ESERCIZI'!$B$2:$K$83,9,FALSE))</f>
        <v/>
      </c>
      <c r="O22" s="98" t="str">
        <f>IF($A22="","",HYPERLINK(VLOOKUP(K22,'DB ESERCIZI'!$B$2:$K$83,10,FALSE)))</f>
        <v/>
      </c>
      <c r="P22" s="69"/>
      <c r="Q22" s="67"/>
      <c r="R22" s="67"/>
      <c r="S22" s="72" t="str">
        <f>IF($A22="","",VLOOKUP(P22,'DB ESERCIZI'!$B$2:$K$83,9,FALSE))</f>
        <v/>
      </c>
      <c r="T22" s="98" t="str">
        <f>IF($A22="","",HYPERLINK(VLOOKUP(P22,'DB ESERCIZI'!$B$2:$K$83,10,FALSE)))</f>
        <v/>
      </c>
      <c r="U22" s="69"/>
      <c r="V22" s="67"/>
      <c r="W22" s="67"/>
      <c r="X22" s="72" t="str">
        <f>IF($A22="","",VLOOKUP(U22,'DB ESERCIZI'!$B$2:$K$83,9,FALSE))</f>
        <v/>
      </c>
      <c r="Y22" s="98" t="str">
        <f>IF($A22="","",HYPERLINK(VLOOKUP(U22,'DB ESERCIZI'!$B$2:$K$83,10,FALSE)))</f>
        <v/>
      </c>
    </row>
    <row r="23" spans="1:25" x14ac:dyDescent="0.25">
      <c r="A23" s="69"/>
      <c r="B23" s="67"/>
      <c r="C23" s="67"/>
      <c r="D23" s="72" t="str">
        <f>IF($A23="","",VLOOKUP(A23,'DB ESERCIZI'!$B$2:$K$83,9,FALSE))</f>
        <v/>
      </c>
      <c r="E23" s="98" t="str">
        <f>IF($A23="","",HYPERLINK(VLOOKUP(A23,'DB ESERCIZI'!$B$2:$K$83,10,FALSE)))</f>
        <v/>
      </c>
      <c r="F23" s="69"/>
      <c r="G23" s="67"/>
      <c r="H23" s="67"/>
      <c r="I23" s="72" t="str">
        <f>IF($A23="","",VLOOKUP(F23,'DB ESERCIZI'!$B$2:$K$83,9,FALSE))</f>
        <v/>
      </c>
      <c r="J23" s="98" t="str">
        <f>IF($A23="","",HYPERLINK(VLOOKUP(F23,'DB ESERCIZI'!$B$2:$K$83,10,FALSE)))</f>
        <v/>
      </c>
      <c r="K23" s="69"/>
      <c r="L23" s="67"/>
      <c r="M23" s="67"/>
      <c r="N23" s="72" t="str">
        <f>IF($A23="","",VLOOKUP(K23,'DB ESERCIZI'!$B$2:$K$83,9,FALSE))</f>
        <v/>
      </c>
      <c r="O23" s="98" t="str">
        <f>IF($A23="","",HYPERLINK(VLOOKUP(K23,'DB ESERCIZI'!$B$2:$K$83,10,FALSE)))</f>
        <v/>
      </c>
      <c r="P23" s="69"/>
      <c r="Q23" s="67"/>
      <c r="R23" s="67"/>
      <c r="S23" s="72" t="str">
        <f>IF($A23="","",VLOOKUP(P23,'DB ESERCIZI'!$B$2:$K$83,9,FALSE))</f>
        <v/>
      </c>
      <c r="T23" s="98" t="str">
        <f>IF($A23="","",HYPERLINK(VLOOKUP(P23,'DB ESERCIZI'!$B$2:$K$83,10,FALSE)))</f>
        <v/>
      </c>
      <c r="U23" s="69"/>
      <c r="V23" s="67"/>
      <c r="W23" s="67"/>
      <c r="X23" s="72" t="str">
        <f>IF($A23="","",VLOOKUP(U23,'DB ESERCIZI'!$B$2:$K$83,9,FALSE))</f>
        <v/>
      </c>
      <c r="Y23" s="98" t="str">
        <f>IF($A23="","",HYPERLINK(VLOOKUP(U23,'DB ESERCIZI'!$B$2:$K$83,10,FALSE)))</f>
        <v/>
      </c>
    </row>
    <row r="24" spans="1:25" x14ac:dyDescent="0.25">
      <c r="A24" s="69"/>
      <c r="B24" s="67"/>
      <c r="C24" s="67"/>
      <c r="D24" s="72" t="str">
        <f>IF($A24="","",VLOOKUP(A24,'DB ESERCIZI'!$B$2:$K$83,9,FALSE))</f>
        <v/>
      </c>
      <c r="E24" s="98" t="str">
        <f>IF($A24="","",HYPERLINK(VLOOKUP(A24,'DB ESERCIZI'!$B$2:$K$83,10,FALSE)))</f>
        <v/>
      </c>
      <c r="F24" s="69"/>
      <c r="G24" s="67"/>
      <c r="H24" s="67"/>
      <c r="I24" s="72" t="str">
        <f>IF($A24="","",VLOOKUP(F24,'DB ESERCIZI'!$B$2:$K$83,9,FALSE))</f>
        <v/>
      </c>
      <c r="J24" s="98" t="str">
        <f>IF($A24="","",HYPERLINK(VLOOKUP(F24,'DB ESERCIZI'!$B$2:$K$83,10,FALSE)))</f>
        <v/>
      </c>
      <c r="K24" s="69"/>
      <c r="L24" s="67"/>
      <c r="M24" s="67"/>
      <c r="N24" s="72" t="str">
        <f>IF($A24="","",VLOOKUP(K24,'DB ESERCIZI'!$B$2:$K$83,9,FALSE))</f>
        <v/>
      </c>
      <c r="O24" s="98" t="str">
        <f>IF($A24="","",HYPERLINK(VLOOKUP(K24,'DB ESERCIZI'!$B$2:$K$83,10,FALSE)))</f>
        <v/>
      </c>
      <c r="P24" s="69"/>
      <c r="Q24" s="67"/>
      <c r="R24" s="67"/>
      <c r="S24" s="72" t="str">
        <f>IF($A24="","",VLOOKUP(P24,'DB ESERCIZI'!$B$2:$K$83,9,FALSE))</f>
        <v/>
      </c>
      <c r="T24" s="98" t="str">
        <f>IF($A24="","",HYPERLINK(VLOOKUP(P24,'DB ESERCIZI'!$B$2:$K$83,10,FALSE)))</f>
        <v/>
      </c>
      <c r="U24" s="69"/>
      <c r="V24" s="67"/>
      <c r="W24" s="67"/>
      <c r="X24" s="72" t="str">
        <f>IF($A24="","",VLOOKUP(U24,'DB ESERCIZI'!$B$2:$K$83,9,FALSE))</f>
        <v/>
      </c>
      <c r="Y24" s="98" t="str">
        <f>IF($A24="","",HYPERLINK(VLOOKUP(U24,'DB ESERCIZI'!$B$2:$K$83,10,FALSE)))</f>
        <v/>
      </c>
    </row>
    <row r="25" spans="1:25" x14ac:dyDescent="0.25">
      <c r="A25" s="69"/>
      <c r="B25" s="67"/>
      <c r="C25" s="67"/>
      <c r="D25" s="72" t="str">
        <f>IF($A25="","",VLOOKUP(A25,'DB ESERCIZI'!$B$2:$K$83,9,FALSE))</f>
        <v/>
      </c>
      <c r="E25" s="98" t="str">
        <f>IF($A25="","",HYPERLINK(VLOOKUP(A25,'DB ESERCIZI'!$B$2:$K$83,10,FALSE)))</f>
        <v/>
      </c>
      <c r="F25" s="69"/>
      <c r="G25" s="67"/>
      <c r="H25" s="67"/>
      <c r="I25" s="72" t="str">
        <f>IF($A25="","",VLOOKUP(F25,'DB ESERCIZI'!$B$2:$K$83,9,FALSE))</f>
        <v/>
      </c>
      <c r="J25" s="98" t="str">
        <f>IF($A25="","",HYPERLINK(VLOOKUP(F25,'DB ESERCIZI'!$B$2:$K$83,10,FALSE)))</f>
        <v/>
      </c>
      <c r="K25" s="69"/>
      <c r="L25" s="67"/>
      <c r="M25" s="67"/>
      <c r="N25" s="72" t="str">
        <f>IF($A25="","",VLOOKUP(K25,'DB ESERCIZI'!$B$2:$K$83,9,FALSE))</f>
        <v/>
      </c>
      <c r="O25" s="98" t="str">
        <f>IF($A25="","",HYPERLINK(VLOOKUP(K25,'DB ESERCIZI'!$B$2:$K$83,10,FALSE)))</f>
        <v/>
      </c>
      <c r="P25" s="69"/>
      <c r="Q25" s="67"/>
      <c r="R25" s="67"/>
      <c r="S25" s="72" t="str">
        <f>IF($A25="","",VLOOKUP(P25,'DB ESERCIZI'!$B$2:$K$83,9,FALSE))</f>
        <v/>
      </c>
      <c r="T25" s="98" t="str">
        <f>IF($A25="","",HYPERLINK(VLOOKUP(P25,'DB ESERCIZI'!$B$2:$K$83,10,FALSE)))</f>
        <v/>
      </c>
      <c r="U25" s="69"/>
      <c r="V25" s="67"/>
      <c r="W25" s="67"/>
      <c r="X25" s="72" t="str">
        <f>IF($A25="","",VLOOKUP(U25,'DB ESERCIZI'!$B$2:$K$83,9,FALSE))</f>
        <v/>
      </c>
      <c r="Y25" s="98" t="str">
        <f>IF($A25="","",HYPERLINK(VLOOKUP(U25,'DB ESERCIZI'!$B$2:$K$83,10,FALSE)))</f>
        <v/>
      </c>
    </row>
    <row r="26" spans="1:25" x14ac:dyDescent="0.25">
      <c r="A26" s="69"/>
      <c r="B26" s="67"/>
      <c r="C26" s="67"/>
      <c r="D26" s="72" t="str">
        <f>IF($A26="","",VLOOKUP(A26,'DB ESERCIZI'!$B$2:$K$83,9,FALSE))</f>
        <v/>
      </c>
      <c r="E26" s="98" t="str">
        <f>IF($A26="","",HYPERLINK(VLOOKUP(A26,'DB ESERCIZI'!$B$2:$K$83,10,FALSE)))</f>
        <v/>
      </c>
      <c r="F26" s="69"/>
      <c r="G26" s="67"/>
      <c r="H26" s="67"/>
      <c r="I26" s="72" t="str">
        <f>IF($A26="","",VLOOKUP(F26,'DB ESERCIZI'!$B$2:$K$83,9,FALSE))</f>
        <v/>
      </c>
      <c r="J26" s="98" t="str">
        <f>IF($A26="","",HYPERLINK(VLOOKUP(F26,'DB ESERCIZI'!$B$2:$K$83,10,FALSE)))</f>
        <v/>
      </c>
      <c r="K26" s="69"/>
      <c r="L26" s="67"/>
      <c r="M26" s="67"/>
      <c r="N26" s="72" t="str">
        <f>IF($A26="","",VLOOKUP(K26,'DB ESERCIZI'!$B$2:$K$83,9,FALSE))</f>
        <v/>
      </c>
      <c r="O26" s="98" t="str">
        <f>IF($A26="","",HYPERLINK(VLOOKUP(K26,'DB ESERCIZI'!$B$2:$K$83,10,FALSE)))</f>
        <v/>
      </c>
      <c r="P26" s="69"/>
      <c r="Q26" s="67"/>
      <c r="R26" s="67"/>
      <c r="S26" s="72" t="str">
        <f>IF($A26="","",VLOOKUP(P26,'DB ESERCIZI'!$B$2:$K$83,9,FALSE))</f>
        <v/>
      </c>
      <c r="T26" s="98" t="str">
        <f>IF($A26="","",HYPERLINK(VLOOKUP(P26,'DB ESERCIZI'!$B$2:$K$83,10,FALSE)))</f>
        <v/>
      </c>
      <c r="U26" s="69"/>
      <c r="V26" s="67"/>
      <c r="W26" s="67"/>
      <c r="X26" s="72" t="str">
        <f>IF($A26="","",VLOOKUP(U26,'DB ESERCIZI'!$B$2:$K$83,9,FALSE))</f>
        <v/>
      </c>
      <c r="Y26" s="98" t="str">
        <f>IF($A26="","",HYPERLINK(VLOOKUP(U26,'DB ESERCIZI'!$B$2:$K$83,10,FALSE)))</f>
        <v/>
      </c>
    </row>
    <row r="27" spans="1:25" x14ac:dyDescent="0.25">
      <c r="A27" s="69"/>
      <c r="B27" s="67"/>
      <c r="C27" s="67"/>
      <c r="D27" s="72" t="str">
        <f>IF($A27="","",VLOOKUP(A27,'DB ESERCIZI'!$B$2:$K$83,9,FALSE))</f>
        <v/>
      </c>
      <c r="E27" s="98" t="str">
        <f>IF($A27="","",HYPERLINK(VLOOKUP(A27,'DB ESERCIZI'!$B$2:$K$83,10,FALSE)))</f>
        <v/>
      </c>
      <c r="F27" s="69"/>
      <c r="G27" s="67"/>
      <c r="H27" s="67"/>
      <c r="I27" s="72" t="str">
        <f>IF($A27="","",VLOOKUP(F27,'DB ESERCIZI'!$B$2:$K$83,9,FALSE))</f>
        <v/>
      </c>
      <c r="J27" s="98" t="str">
        <f>IF($A27="","",HYPERLINK(VLOOKUP(F27,'DB ESERCIZI'!$B$2:$K$83,10,FALSE)))</f>
        <v/>
      </c>
      <c r="K27" s="69"/>
      <c r="L27" s="67"/>
      <c r="M27" s="67"/>
      <c r="N27" s="72" t="str">
        <f>IF($A27="","",VLOOKUP(K27,'DB ESERCIZI'!$B$2:$K$83,9,FALSE))</f>
        <v/>
      </c>
      <c r="O27" s="98" t="str">
        <f>IF($A27="","",HYPERLINK(VLOOKUP(K27,'DB ESERCIZI'!$B$2:$K$83,10,FALSE)))</f>
        <v/>
      </c>
      <c r="P27" s="69"/>
      <c r="Q27" s="67"/>
      <c r="R27" s="67"/>
      <c r="S27" s="72" t="str">
        <f>IF($A27="","",VLOOKUP(P27,'DB ESERCIZI'!$B$2:$K$83,9,FALSE))</f>
        <v/>
      </c>
      <c r="T27" s="98" t="str">
        <f>IF($A27="","",HYPERLINK(VLOOKUP(P27,'DB ESERCIZI'!$B$2:$K$83,10,FALSE)))</f>
        <v/>
      </c>
      <c r="U27" s="69"/>
      <c r="V27" s="67"/>
      <c r="W27" s="67"/>
      <c r="X27" s="72" t="str">
        <f>IF($A27="","",VLOOKUP(U27,'DB ESERCIZI'!$B$2:$K$83,9,FALSE))</f>
        <v/>
      </c>
      <c r="Y27" s="98" t="str">
        <f>IF($A27="","",HYPERLINK(VLOOKUP(U27,'DB ESERCIZI'!$B$2:$K$83,10,FALSE)))</f>
        <v/>
      </c>
    </row>
    <row r="28" spans="1:25" x14ac:dyDescent="0.25">
      <c r="A28" s="69"/>
      <c r="B28" s="67"/>
      <c r="C28" s="67"/>
      <c r="D28" s="72" t="str">
        <f>IF($A28="","",VLOOKUP(A28,'DB ESERCIZI'!$B$2:$K$83,9,FALSE))</f>
        <v/>
      </c>
      <c r="E28" s="98" t="str">
        <f>IF($A28="","",HYPERLINK(VLOOKUP(A28,'DB ESERCIZI'!$B$2:$K$83,10,FALSE)))</f>
        <v/>
      </c>
      <c r="F28" s="69"/>
      <c r="G28" s="67"/>
      <c r="H28" s="67"/>
      <c r="I28" s="72" t="str">
        <f>IF($A28="","",VLOOKUP(F28,'DB ESERCIZI'!$B$2:$K$83,9,FALSE))</f>
        <v/>
      </c>
      <c r="J28" s="98" t="str">
        <f>IF($A28="","",HYPERLINK(VLOOKUP(F28,'DB ESERCIZI'!$B$2:$K$83,10,FALSE)))</f>
        <v/>
      </c>
      <c r="K28" s="69"/>
      <c r="L28" s="67"/>
      <c r="M28" s="67"/>
      <c r="N28" s="72" t="str">
        <f>IF($A28="","",VLOOKUP(K28,'DB ESERCIZI'!$B$2:$K$83,9,FALSE))</f>
        <v/>
      </c>
      <c r="O28" s="98" t="str">
        <f>IF($A28="","",HYPERLINK(VLOOKUP(K28,'DB ESERCIZI'!$B$2:$K$83,10,FALSE)))</f>
        <v/>
      </c>
      <c r="P28" s="69"/>
      <c r="Q28" s="67"/>
      <c r="R28" s="67"/>
      <c r="S28" s="72" t="str">
        <f>IF($A28="","",VLOOKUP(P28,'DB ESERCIZI'!$B$2:$K$83,9,FALSE))</f>
        <v/>
      </c>
      <c r="T28" s="98" t="str">
        <f>IF($A28="","",HYPERLINK(VLOOKUP(P28,'DB ESERCIZI'!$B$2:$K$83,10,FALSE)))</f>
        <v/>
      </c>
      <c r="U28" s="69"/>
      <c r="V28" s="67"/>
      <c r="W28" s="67"/>
      <c r="X28" s="72" t="str">
        <f>IF($A28="","",VLOOKUP(U28,'DB ESERCIZI'!$B$2:$K$83,9,FALSE))</f>
        <v/>
      </c>
      <c r="Y28" s="98" t="str">
        <f>IF($A28="","",HYPERLINK(VLOOKUP(U28,'DB ESERCIZI'!$B$2:$K$83,10,FALSE)))</f>
        <v/>
      </c>
    </row>
    <row r="29" spans="1:25" x14ac:dyDescent="0.25">
      <c r="A29" s="69"/>
      <c r="B29" s="67"/>
      <c r="C29" s="67"/>
      <c r="D29" s="72" t="str">
        <f>IF($A29="","",VLOOKUP(A29,'DB ESERCIZI'!$B$2:$K$83,9,FALSE))</f>
        <v/>
      </c>
      <c r="E29" s="98" t="str">
        <f>IF($A29="","",HYPERLINK(VLOOKUP(A29,'DB ESERCIZI'!$B$2:$K$83,10,FALSE)))</f>
        <v/>
      </c>
      <c r="F29" s="69"/>
      <c r="G29" s="67"/>
      <c r="H29" s="67"/>
      <c r="I29" s="72" t="str">
        <f>IF($A29="","",VLOOKUP(F29,'DB ESERCIZI'!$B$2:$K$83,9,FALSE))</f>
        <v/>
      </c>
      <c r="J29" s="98" t="str">
        <f>IF($A29="","",HYPERLINK(VLOOKUP(F29,'DB ESERCIZI'!$B$2:$K$83,10,FALSE)))</f>
        <v/>
      </c>
      <c r="K29" s="69"/>
      <c r="L29" s="67"/>
      <c r="M29" s="67"/>
      <c r="N29" s="72" t="str">
        <f>IF($A29="","",VLOOKUP(K29,'DB ESERCIZI'!$B$2:$K$83,9,FALSE))</f>
        <v/>
      </c>
      <c r="O29" s="98" t="str">
        <f>IF($A29="","",HYPERLINK(VLOOKUP(K29,'DB ESERCIZI'!$B$2:$K$83,10,FALSE)))</f>
        <v/>
      </c>
      <c r="P29" s="69"/>
      <c r="Q29" s="67"/>
      <c r="R29" s="67"/>
      <c r="S29" s="72" t="str">
        <f>IF($A29="","",VLOOKUP(P29,'DB ESERCIZI'!$B$2:$K$83,9,FALSE))</f>
        <v/>
      </c>
      <c r="T29" s="98" t="str">
        <f>IF($A29="","",HYPERLINK(VLOOKUP(P29,'DB ESERCIZI'!$B$2:$K$83,10,FALSE)))</f>
        <v/>
      </c>
      <c r="U29" s="69"/>
      <c r="V29" s="67"/>
      <c r="W29" s="67"/>
      <c r="X29" s="72" t="str">
        <f>IF($A29="","",VLOOKUP(U29,'DB ESERCIZI'!$B$2:$K$83,9,FALSE))</f>
        <v/>
      </c>
      <c r="Y29" s="98" t="str">
        <f>IF($A29="","",HYPERLINK(VLOOKUP(U29,'DB ESERCIZI'!$B$2:$K$83,10,FALSE)))</f>
        <v/>
      </c>
    </row>
    <row r="30" spans="1:25" x14ac:dyDescent="0.25">
      <c r="A30" s="69"/>
      <c r="B30" s="67"/>
      <c r="C30" s="67"/>
      <c r="D30" s="72" t="str">
        <f>IF($A30="","",VLOOKUP(A30,'DB ESERCIZI'!$B$2:$K$83,9,FALSE))</f>
        <v/>
      </c>
      <c r="E30" s="98" t="str">
        <f>IF($A30="","",HYPERLINK(VLOOKUP(A30,'DB ESERCIZI'!$B$2:$K$83,10,FALSE)))</f>
        <v/>
      </c>
      <c r="F30" s="69"/>
      <c r="G30" s="67"/>
      <c r="H30" s="67"/>
      <c r="I30" s="72" t="str">
        <f>IF($A30="","",VLOOKUP(F30,'DB ESERCIZI'!$B$2:$K$83,9,FALSE))</f>
        <v/>
      </c>
      <c r="J30" s="98" t="str">
        <f>IF($A30="","",HYPERLINK(VLOOKUP(F30,'DB ESERCIZI'!$B$2:$K$83,10,FALSE)))</f>
        <v/>
      </c>
      <c r="K30" s="69"/>
      <c r="L30" s="67"/>
      <c r="M30" s="67"/>
      <c r="N30" s="72" t="str">
        <f>IF($A30="","",VLOOKUP(K30,'DB ESERCIZI'!$B$2:$K$83,9,FALSE))</f>
        <v/>
      </c>
      <c r="O30" s="98" t="str">
        <f>IF($A30="","",HYPERLINK(VLOOKUP(K30,'DB ESERCIZI'!$B$2:$K$83,10,FALSE)))</f>
        <v/>
      </c>
      <c r="P30" s="69"/>
      <c r="Q30" s="67"/>
      <c r="R30" s="67"/>
      <c r="S30" s="72" t="str">
        <f>IF($A30="","",VLOOKUP(P30,'DB ESERCIZI'!$B$2:$K$83,9,FALSE))</f>
        <v/>
      </c>
      <c r="T30" s="98" t="str">
        <f>IF($A30="","",HYPERLINK(VLOOKUP(P30,'DB ESERCIZI'!$B$2:$K$83,10,FALSE)))</f>
        <v/>
      </c>
      <c r="U30" s="69"/>
      <c r="V30" s="67"/>
      <c r="W30" s="67"/>
      <c r="X30" s="72" t="str">
        <f>IF($A30="","",VLOOKUP(U30,'DB ESERCIZI'!$B$2:$K$83,9,FALSE))</f>
        <v/>
      </c>
      <c r="Y30" s="98" t="str">
        <f>IF($A30="","",HYPERLINK(VLOOKUP(U30,'DB ESERCIZI'!$B$2:$K$83,10,FALSE)))</f>
        <v/>
      </c>
    </row>
    <row r="31" spans="1:25" x14ac:dyDescent="0.25">
      <c r="A31" s="69"/>
      <c r="B31" s="67"/>
      <c r="C31" s="67"/>
      <c r="D31" s="72" t="str">
        <f>IF($A31="","",VLOOKUP(A31,'DB ESERCIZI'!$B$2:$K$83,9,FALSE))</f>
        <v/>
      </c>
      <c r="E31" s="98" t="str">
        <f>IF($A31="","",HYPERLINK(VLOOKUP(A31,'DB ESERCIZI'!$B$2:$K$83,10,FALSE)))</f>
        <v/>
      </c>
      <c r="F31" s="69"/>
      <c r="G31" s="67"/>
      <c r="H31" s="67"/>
      <c r="I31" s="72" t="str">
        <f>IF($A31="","",VLOOKUP(F31,'DB ESERCIZI'!$B$2:$K$83,9,FALSE))</f>
        <v/>
      </c>
      <c r="J31" s="98" t="str">
        <f>IF($A31="","",HYPERLINK(VLOOKUP(F31,'DB ESERCIZI'!$B$2:$K$83,10,FALSE)))</f>
        <v/>
      </c>
      <c r="K31" s="69"/>
      <c r="L31" s="67"/>
      <c r="M31" s="67"/>
      <c r="N31" s="72" t="str">
        <f>IF($A31="","",VLOOKUP(K31,'DB ESERCIZI'!$B$2:$K$83,9,FALSE))</f>
        <v/>
      </c>
      <c r="O31" s="98" t="str">
        <f>IF($A31="","",HYPERLINK(VLOOKUP(K31,'DB ESERCIZI'!$B$2:$K$83,10,FALSE)))</f>
        <v/>
      </c>
      <c r="P31" s="69"/>
      <c r="Q31" s="67"/>
      <c r="R31" s="67"/>
      <c r="S31" s="72" t="str">
        <f>IF($A31="","",VLOOKUP(P31,'DB ESERCIZI'!$B$2:$K$83,9,FALSE))</f>
        <v/>
      </c>
      <c r="T31" s="98" t="str">
        <f>IF($A31="","",HYPERLINK(VLOOKUP(P31,'DB ESERCIZI'!$B$2:$K$83,10,FALSE)))</f>
        <v/>
      </c>
      <c r="U31" s="69"/>
      <c r="V31" s="67"/>
      <c r="W31" s="67"/>
      <c r="X31" s="72" t="str">
        <f>IF($A31="","",VLOOKUP(U31,'DB ESERCIZI'!$B$2:$K$83,9,FALSE))</f>
        <v/>
      </c>
      <c r="Y31" s="98" t="str">
        <f>IF($A31="","",HYPERLINK(VLOOKUP(U31,'DB ESERCIZI'!$B$2:$K$83,10,FALSE)))</f>
        <v/>
      </c>
    </row>
    <row r="32" spans="1:25" ht="15.75" thickBot="1" x14ac:dyDescent="0.3">
      <c r="A32" s="90"/>
      <c r="B32" s="91"/>
      <c r="C32" s="91"/>
      <c r="D32" s="92" t="str">
        <f>IF($A32="","",VLOOKUP(A32,'DB ESERCIZI'!$B$2:$K$83,9,FALSE))</f>
        <v/>
      </c>
      <c r="E32" s="100" t="str">
        <f>IF($A32="","",HYPERLINK(VLOOKUP(A32,'DB ESERCIZI'!$B$2:$K$83,10,FALSE)))</f>
        <v/>
      </c>
      <c r="F32" s="90"/>
      <c r="G32" s="91"/>
      <c r="H32" s="91"/>
      <c r="I32" s="92" t="str">
        <f>IF($A32="","",VLOOKUP(F32,'DB ESERCIZI'!$B$2:$K$83,9,FALSE))</f>
        <v/>
      </c>
      <c r="J32" s="100" t="str">
        <f>IF($A32="","",HYPERLINK(VLOOKUP(F32,'DB ESERCIZI'!$B$2:$K$83,10,FALSE)))</f>
        <v/>
      </c>
      <c r="K32" s="90"/>
      <c r="L32" s="91"/>
      <c r="M32" s="91"/>
      <c r="N32" s="92" t="str">
        <f>IF($A32="","",VLOOKUP(K32,'DB ESERCIZI'!$B$2:$K$83,9,FALSE))</f>
        <v/>
      </c>
      <c r="O32" s="100" t="str">
        <f>IF($A32="","",HYPERLINK(VLOOKUP(K32,'DB ESERCIZI'!$B$2:$K$83,10,FALSE)))</f>
        <v/>
      </c>
      <c r="P32" s="90"/>
      <c r="Q32" s="91"/>
      <c r="R32" s="91"/>
      <c r="S32" s="92" t="str">
        <f>IF($A32="","",VLOOKUP(P32,'DB ESERCIZI'!$B$2:$K$83,9,FALSE))</f>
        <v/>
      </c>
      <c r="T32" s="100" t="str">
        <f>IF($A32="","",HYPERLINK(VLOOKUP(P32,'DB ESERCIZI'!$B$2:$K$83,10,FALSE)))</f>
        <v/>
      </c>
      <c r="U32" s="90"/>
      <c r="V32" s="91"/>
      <c r="W32" s="91"/>
      <c r="X32" s="92" t="str">
        <f>IF($A32="","",VLOOKUP(U32,'DB ESERCIZI'!$B$2:$K$83,9,FALSE))</f>
        <v/>
      </c>
      <c r="Y32" s="100" t="str">
        <f>IF($A32="","",HYPERLINK(VLOOKUP(U32,'DB ESERCIZI'!$B$2:$K$83,10,FALSE)))</f>
        <v/>
      </c>
    </row>
    <row r="33" spans="1:25" x14ac:dyDescent="0.25">
      <c r="A33" s="101"/>
      <c r="B33" s="102"/>
      <c r="C33" s="102"/>
      <c r="D33" s="103" t="str">
        <f>IF($A33="","",VLOOKUP(A33,'DB ESERCIZI'!$B$2:$K$83,9,FALSE))</f>
        <v/>
      </c>
      <c r="E33" s="104" t="str">
        <f>IF($A33="","",HYPERLINK(VLOOKUP(A33,'DB ESERCIZI'!$B$2:$K$83,10,FALSE)))</f>
        <v/>
      </c>
      <c r="F33" s="101"/>
      <c r="G33" s="102"/>
      <c r="H33" s="102"/>
      <c r="I33" s="103" t="str">
        <f>IF($A33="","",VLOOKUP(F33,'DB ESERCIZI'!$B$2:$K$83,9,FALSE))</f>
        <v/>
      </c>
      <c r="J33" s="104" t="str">
        <f>IF($A33="","",HYPERLINK(VLOOKUP(F33,'DB ESERCIZI'!$B$2:$K$83,10,FALSE)))</f>
        <v/>
      </c>
      <c r="K33" s="101"/>
      <c r="L33" s="102"/>
      <c r="M33" s="102"/>
      <c r="N33" s="103" t="str">
        <f>IF($A33="","",VLOOKUP(K33,'DB ESERCIZI'!$B$2:$K$83,9,FALSE))</f>
        <v/>
      </c>
      <c r="O33" s="104" t="str">
        <f>IF($A33="","",HYPERLINK(VLOOKUP(K33,'DB ESERCIZI'!$B$2:$K$83,10,FALSE)))</f>
        <v/>
      </c>
      <c r="P33" s="101"/>
      <c r="Q33" s="102"/>
      <c r="R33" s="102"/>
      <c r="S33" s="103" t="str">
        <f>IF($A33="","",VLOOKUP(P33,'DB ESERCIZI'!$B$2:$K$83,9,FALSE))</f>
        <v/>
      </c>
      <c r="T33" s="104" t="str">
        <f>IF($A33="","",HYPERLINK(VLOOKUP(P33,'DB ESERCIZI'!$B$2:$K$83,10,FALSE)))</f>
        <v/>
      </c>
      <c r="U33" s="101"/>
      <c r="V33" s="102"/>
      <c r="W33" s="102"/>
      <c r="X33" s="103" t="str">
        <f>IF($A33="","",VLOOKUP(U33,'DB ESERCIZI'!$B$2:$K$83,9,FALSE))</f>
        <v/>
      </c>
      <c r="Y33" s="104" t="str">
        <f>IF($A33="","",HYPERLINK(VLOOKUP(U33,'DB ESERCIZI'!$B$2:$K$83,10,FALSE)))</f>
        <v/>
      </c>
    </row>
    <row r="34" spans="1:25" x14ac:dyDescent="0.25">
      <c r="A34" s="69"/>
      <c r="B34" s="67"/>
      <c r="C34" s="67"/>
      <c r="D34" s="72" t="str">
        <f>IF($A34="","",VLOOKUP(A34,'DB ESERCIZI'!$B$2:$K$83,9,FALSE))</f>
        <v/>
      </c>
      <c r="E34" s="98" t="str">
        <f>IF($A34="","",HYPERLINK(VLOOKUP(A34,'DB ESERCIZI'!$B$2:$K$83,10,FALSE)))</f>
        <v/>
      </c>
      <c r="F34" s="69"/>
      <c r="G34" s="67"/>
      <c r="H34" s="67"/>
      <c r="I34" s="72" t="str">
        <f>IF($A34="","",VLOOKUP(F34,'DB ESERCIZI'!$B$2:$K$83,9,FALSE))</f>
        <v/>
      </c>
      <c r="J34" s="98" t="str">
        <f>IF($A34="","",HYPERLINK(VLOOKUP(F34,'DB ESERCIZI'!$B$2:$K$83,10,FALSE)))</f>
        <v/>
      </c>
      <c r="K34" s="69"/>
      <c r="L34" s="67"/>
      <c r="M34" s="67"/>
      <c r="N34" s="72" t="str">
        <f>IF($A34="","",VLOOKUP(K34,'DB ESERCIZI'!$B$2:$K$83,9,FALSE))</f>
        <v/>
      </c>
      <c r="O34" s="98" t="str">
        <f>IF($A34="","",HYPERLINK(VLOOKUP(K34,'DB ESERCIZI'!$B$2:$K$83,10,FALSE)))</f>
        <v/>
      </c>
      <c r="P34" s="69"/>
      <c r="Q34" s="67"/>
      <c r="R34" s="67"/>
      <c r="S34" s="72" t="str">
        <f>IF($A34="","",VLOOKUP(P34,'DB ESERCIZI'!$B$2:$K$83,9,FALSE))</f>
        <v/>
      </c>
      <c r="T34" s="98" t="str">
        <f>IF($A34="","",HYPERLINK(VLOOKUP(P34,'DB ESERCIZI'!$B$2:$K$83,10,FALSE)))</f>
        <v/>
      </c>
      <c r="U34" s="69"/>
      <c r="V34" s="67"/>
      <c r="W34" s="67"/>
      <c r="X34" s="72" t="str">
        <f>IF($A34="","",VLOOKUP(U34,'DB ESERCIZI'!$B$2:$K$83,9,FALSE))</f>
        <v/>
      </c>
      <c r="Y34" s="98" t="str">
        <f>IF($A34="","",HYPERLINK(VLOOKUP(U34,'DB ESERCIZI'!$B$2:$K$83,10,FALSE)))</f>
        <v/>
      </c>
    </row>
    <row r="35" spans="1:25" x14ac:dyDescent="0.25">
      <c r="A35" s="69"/>
      <c r="B35" s="67"/>
      <c r="C35" s="67"/>
      <c r="D35" s="72" t="str">
        <f>IF($A35="","",VLOOKUP(A35,'DB ESERCIZI'!$B$2:$K$83,9,FALSE))</f>
        <v/>
      </c>
      <c r="E35" s="98" t="str">
        <f>IF($A35="","",HYPERLINK(VLOOKUP(A35,'DB ESERCIZI'!$B$2:$K$83,10,FALSE)))</f>
        <v/>
      </c>
      <c r="F35" s="69"/>
      <c r="G35" s="67"/>
      <c r="H35" s="67"/>
      <c r="I35" s="72" t="str">
        <f>IF($A35="","",VLOOKUP(F35,'DB ESERCIZI'!$B$2:$K$83,9,FALSE))</f>
        <v/>
      </c>
      <c r="J35" s="98" t="str">
        <f>IF($A35="","",HYPERLINK(VLOOKUP(F35,'DB ESERCIZI'!$B$2:$K$83,10,FALSE)))</f>
        <v/>
      </c>
      <c r="K35" s="69"/>
      <c r="L35" s="67"/>
      <c r="M35" s="67"/>
      <c r="N35" s="72" t="str">
        <f>IF($A35="","",VLOOKUP(K35,'DB ESERCIZI'!$B$2:$K$83,9,FALSE))</f>
        <v/>
      </c>
      <c r="O35" s="98" t="str">
        <f>IF($A35="","",HYPERLINK(VLOOKUP(K35,'DB ESERCIZI'!$B$2:$K$83,10,FALSE)))</f>
        <v/>
      </c>
      <c r="P35" s="69"/>
      <c r="Q35" s="67"/>
      <c r="R35" s="67"/>
      <c r="S35" s="72" t="str">
        <f>IF($A35="","",VLOOKUP(P35,'DB ESERCIZI'!$B$2:$K$83,9,FALSE))</f>
        <v/>
      </c>
      <c r="T35" s="98" t="str">
        <f>IF($A35="","",HYPERLINK(VLOOKUP(P35,'DB ESERCIZI'!$B$2:$K$83,10,FALSE)))</f>
        <v/>
      </c>
      <c r="U35" s="69"/>
      <c r="V35" s="67"/>
      <c r="W35" s="67"/>
      <c r="X35" s="72" t="str">
        <f>IF($A35="","",VLOOKUP(U35,'DB ESERCIZI'!$B$2:$K$83,9,FALSE))</f>
        <v/>
      </c>
      <c r="Y35" s="98" t="str">
        <f>IF($A35="","",HYPERLINK(VLOOKUP(U35,'DB ESERCIZI'!$B$2:$K$83,10,FALSE)))</f>
        <v/>
      </c>
    </row>
    <row r="36" spans="1:25" x14ac:dyDescent="0.25">
      <c r="A36" s="69"/>
      <c r="B36" s="67"/>
      <c r="C36" s="67"/>
      <c r="D36" s="72" t="str">
        <f>IF($A36="","",VLOOKUP(A36,'DB ESERCIZI'!$B$2:$K$83,9,FALSE))</f>
        <v/>
      </c>
      <c r="E36" s="98" t="str">
        <f>IF($A36="","",HYPERLINK(VLOOKUP(A36,'DB ESERCIZI'!$B$2:$K$83,10,FALSE)))</f>
        <v/>
      </c>
      <c r="F36" s="69"/>
      <c r="G36" s="67"/>
      <c r="H36" s="67"/>
      <c r="I36" s="72" t="str">
        <f>IF($A36="","",VLOOKUP(F36,'DB ESERCIZI'!$B$2:$K$83,9,FALSE))</f>
        <v/>
      </c>
      <c r="J36" s="98" t="str">
        <f>IF($A36="","",HYPERLINK(VLOOKUP(F36,'DB ESERCIZI'!$B$2:$K$83,10,FALSE)))</f>
        <v/>
      </c>
      <c r="K36" s="69"/>
      <c r="L36" s="67"/>
      <c r="M36" s="67"/>
      <c r="N36" s="72" t="str">
        <f>IF($A36="","",VLOOKUP(K36,'DB ESERCIZI'!$B$2:$K$83,9,FALSE))</f>
        <v/>
      </c>
      <c r="O36" s="98" t="str">
        <f>IF($A36="","",HYPERLINK(VLOOKUP(K36,'DB ESERCIZI'!$B$2:$K$83,10,FALSE)))</f>
        <v/>
      </c>
      <c r="P36" s="69"/>
      <c r="Q36" s="67"/>
      <c r="R36" s="67"/>
      <c r="S36" s="72" t="str">
        <f>IF($A36="","",VLOOKUP(P36,'DB ESERCIZI'!$B$2:$K$83,9,FALSE))</f>
        <v/>
      </c>
      <c r="T36" s="98" t="str">
        <f>IF($A36="","",HYPERLINK(VLOOKUP(P36,'DB ESERCIZI'!$B$2:$K$83,10,FALSE)))</f>
        <v/>
      </c>
      <c r="U36" s="69"/>
      <c r="V36" s="67"/>
      <c r="W36" s="67"/>
      <c r="X36" s="72" t="str">
        <f>IF($A36="","",VLOOKUP(U36,'DB ESERCIZI'!$B$2:$K$83,9,FALSE))</f>
        <v/>
      </c>
      <c r="Y36" s="98" t="str">
        <f>IF($A36="","",HYPERLINK(VLOOKUP(U36,'DB ESERCIZI'!$B$2:$K$83,10,FALSE)))</f>
        <v/>
      </c>
    </row>
    <row r="37" spans="1:25" x14ac:dyDescent="0.25">
      <c r="A37" s="69"/>
      <c r="B37" s="67"/>
      <c r="C37" s="67"/>
      <c r="D37" s="72" t="str">
        <f>IF($A37="","",VLOOKUP(A37,'DB ESERCIZI'!$B$2:$K$83,9,FALSE))</f>
        <v/>
      </c>
      <c r="E37" s="98" t="str">
        <f>IF($A37="","",HYPERLINK(VLOOKUP(A37,'DB ESERCIZI'!$B$2:$K$83,10,FALSE)))</f>
        <v/>
      </c>
      <c r="F37" s="69"/>
      <c r="G37" s="67"/>
      <c r="H37" s="67"/>
      <c r="I37" s="72" t="str">
        <f>IF($A37="","",VLOOKUP(F37,'DB ESERCIZI'!$B$2:$K$83,9,FALSE))</f>
        <v/>
      </c>
      <c r="J37" s="98" t="str">
        <f>IF($A37="","",HYPERLINK(VLOOKUP(F37,'DB ESERCIZI'!$B$2:$K$83,10,FALSE)))</f>
        <v/>
      </c>
      <c r="K37" s="69"/>
      <c r="L37" s="67"/>
      <c r="M37" s="67"/>
      <c r="N37" s="72" t="str">
        <f>IF($A37="","",VLOOKUP(K37,'DB ESERCIZI'!$B$2:$K$83,9,FALSE))</f>
        <v/>
      </c>
      <c r="O37" s="98" t="str">
        <f>IF($A37="","",HYPERLINK(VLOOKUP(K37,'DB ESERCIZI'!$B$2:$K$83,10,FALSE)))</f>
        <v/>
      </c>
      <c r="P37" s="69"/>
      <c r="Q37" s="67"/>
      <c r="R37" s="67"/>
      <c r="S37" s="72" t="str">
        <f>IF($A37="","",VLOOKUP(P37,'DB ESERCIZI'!$B$2:$K$83,9,FALSE))</f>
        <v/>
      </c>
      <c r="T37" s="98" t="str">
        <f>IF($A37="","",HYPERLINK(VLOOKUP(P37,'DB ESERCIZI'!$B$2:$K$83,10,FALSE)))</f>
        <v/>
      </c>
      <c r="U37" s="69"/>
      <c r="V37" s="67"/>
      <c r="W37" s="67"/>
      <c r="X37" s="72" t="str">
        <f>IF($A37="","",VLOOKUP(U37,'DB ESERCIZI'!$B$2:$K$83,9,FALSE))</f>
        <v/>
      </c>
      <c r="Y37" s="98" t="str">
        <f>IF($A37="","",HYPERLINK(VLOOKUP(U37,'DB ESERCIZI'!$B$2:$K$83,10,FALSE)))</f>
        <v/>
      </c>
    </row>
    <row r="38" spans="1:25" x14ac:dyDescent="0.25">
      <c r="A38" s="69"/>
      <c r="B38" s="67"/>
      <c r="C38" s="67"/>
      <c r="D38" s="72" t="str">
        <f>IF($A38="","",VLOOKUP(A38,'DB ESERCIZI'!$B$2:$K$83,9,FALSE))</f>
        <v/>
      </c>
      <c r="E38" s="98" t="str">
        <f>IF($A38="","",HYPERLINK(VLOOKUP(A38,'DB ESERCIZI'!$B$2:$K$83,10,FALSE)))</f>
        <v/>
      </c>
      <c r="F38" s="69"/>
      <c r="G38" s="67"/>
      <c r="H38" s="67"/>
      <c r="I38" s="72" t="str">
        <f>IF($A38="","",VLOOKUP(F38,'DB ESERCIZI'!$B$2:$K$83,9,FALSE))</f>
        <v/>
      </c>
      <c r="J38" s="98" t="str">
        <f>IF($A38="","",HYPERLINK(VLOOKUP(F38,'DB ESERCIZI'!$B$2:$K$83,10,FALSE)))</f>
        <v/>
      </c>
      <c r="K38" s="69"/>
      <c r="L38" s="67"/>
      <c r="M38" s="67"/>
      <c r="N38" s="72" t="str">
        <f>IF($A38="","",VLOOKUP(K38,'DB ESERCIZI'!$B$2:$K$83,9,FALSE))</f>
        <v/>
      </c>
      <c r="O38" s="98" t="str">
        <f>IF($A38="","",HYPERLINK(VLOOKUP(K38,'DB ESERCIZI'!$B$2:$K$83,10,FALSE)))</f>
        <v/>
      </c>
      <c r="P38" s="69"/>
      <c r="Q38" s="67"/>
      <c r="R38" s="67"/>
      <c r="S38" s="72" t="str">
        <f>IF($A38="","",VLOOKUP(P38,'DB ESERCIZI'!$B$2:$K$83,9,FALSE))</f>
        <v/>
      </c>
      <c r="T38" s="98" t="str">
        <f>IF($A38="","",HYPERLINK(VLOOKUP(P38,'DB ESERCIZI'!$B$2:$K$83,10,FALSE)))</f>
        <v/>
      </c>
      <c r="U38" s="69"/>
      <c r="V38" s="67"/>
      <c r="W38" s="67"/>
      <c r="X38" s="72" t="str">
        <f>IF($A38="","",VLOOKUP(U38,'DB ESERCIZI'!$B$2:$K$83,9,FALSE))</f>
        <v/>
      </c>
      <c r="Y38" s="98" t="str">
        <f>IF($A38="","",HYPERLINK(VLOOKUP(U38,'DB ESERCIZI'!$B$2:$K$83,10,FALSE)))</f>
        <v/>
      </c>
    </row>
    <row r="39" spans="1:25" x14ac:dyDescent="0.25">
      <c r="A39" s="69"/>
      <c r="B39" s="67"/>
      <c r="C39" s="67"/>
      <c r="D39" s="72" t="str">
        <f>IF($A39="","",VLOOKUP(A39,'DB ESERCIZI'!$B$2:$K$83,9,FALSE))</f>
        <v/>
      </c>
      <c r="E39" s="98" t="str">
        <f>IF($A39="","",HYPERLINK(VLOOKUP(A39,'DB ESERCIZI'!$B$2:$K$83,10,FALSE)))</f>
        <v/>
      </c>
      <c r="F39" s="69"/>
      <c r="G39" s="67"/>
      <c r="H39" s="67"/>
      <c r="I39" s="72" t="str">
        <f>IF($A39="","",VLOOKUP(F39,'DB ESERCIZI'!$B$2:$K$83,9,FALSE))</f>
        <v/>
      </c>
      <c r="J39" s="98" t="str">
        <f>IF($A39="","",HYPERLINK(VLOOKUP(F39,'DB ESERCIZI'!$B$2:$K$83,10,FALSE)))</f>
        <v/>
      </c>
      <c r="K39" s="69"/>
      <c r="L39" s="67"/>
      <c r="M39" s="67"/>
      <c r="N39" s="72" t="str">
        <f>IF($A39="","",VLOOKUP(K39,'DB ESERCIZI'!$B$2:$K$83,9,FALSE))</f>
        <v/>
      </c>
      <c r="O39" s="98" t="str">
        <f>IF($A39="","",HYPERLINK(VLOOKUP(K39,'DB ESERCIZI'!$B$2:$K$83,10,FALSE)))</f>
        <v/>
      </c>
      <c r="P39" s="69"/>
      <c r="Q39" s="67"/>
      <c r="R39" s="67"/>
      <c r="S39" s="72" t="str">
        <f>IF($A39="","",VLOOKUP(P39,'DB ESERCIZI'!$B$2:$K$83,9,FALSE))</f>
        <v/>
      </c>
      <c r="T39" s="98" t="str">
        <f>IF($A39="","",HYPERLINK(VLOOKUP(P39,'DB ESERCIZI'!$B$2:$K$83,10,FALSE)))</f>
        <v/>
      </c>
      <c r="U39" s="69"/>
      <c r="V39" s="67"/>
      <c r="W39" s="67"/>
      <c r="X39" s="72" t="str">
        <f>IF($A39="","",VLOOKUP(U39,'DB ESERCIZI'!$B$2:$K$83,9,FALSE))</f>
        <v/>
      </c>
      <c r="Y39" s="98" t="str">
        <f>IF($A39="","",HYPERLINK(VLOOKUP(U39,'DB ESERCIZI'!$B$2:$K$83,10,FALSE)))</f>
        <v/>
      </c>
    </row>
    <row r="40" spans="1:25" x14ac:dyDescent="0.25">
      <c r="A40" s="69"/>
      <c r="B40" s="67"/>
      <c r="C40" s="67"/>
      <c r="D40" s="72" t="str">
        <f>IF($A40="","",VLOOKUP(A40,'DB ESERCIZI'!$B$2:$K$83,9,FALSE))</f>
        <v/>
      </c>
      <c r="E40" s="98" t="str">
        <f>IF($A40="","",HYPERLINK(VLOOKUP(A40,'DB ESERCIZI'!$B$2:$K$83,10,FALSE)))</f>
        <v/>
      </c>
      <c r="F40" s="69"/>
      <c r="G40" s="67"/>
      <c r="H40" s="67"/>
      <c r="I40" s="72" t="str">
        <f>IF($A40="","",VLOOKUP(F40,'DB ESERCIZI'!$B$2:$K$83,9,FALSE))</f>
        <v/>
      </c>
      <c r="J40" s="98" t="str">
        <f>IF($A40="","",HYPERLINK(VLOOKUP(F40,'DB ESERCIZI'!$B$2:$K$83,10,FALSE)))</f>
        <v/>
      </c>
      <c r="K40" s="69"/>
      <c r="L40" s="67"/>
      <c r="M40" s="67"/>
      <c r="N40" s="72" t="str">
        <f>IF($A40="","",VLOOKUP(K40,'DB ESERCIZI'!$B$2:$K$83,9,FALSE))</f>
        <v/>
      </c>
      <c r="O40" s="98" t="str">
        <f>IF($A40="","",HYPERLINK(VLOOKUP(K40,'DB ESERCIZI'!$B$2:$K$83,10,FALSE)))</f>
        <v/>
      </c>
      <c r="P40" s="69"/>
      <c r="Q40" s="67"/>
      <c r="R40" s="67"/>
      <c r="S40" s="72" t="str">
        <f>IF($A40="","",VLOOKUP(P40,'DB ESERCIZI'!$B$2:$K$83,9,FALSE))</f>
        <v/>
      </c>
      <c r="T40" s="98" t="str">
        <f>IF($A40="","",HYPERLINK(VLOOKUP(P40,'DB ESERCIZI'!$B$2:$K$83,10,FALSE)))</f>
        <v/>
      </c>
      <c r="U40" s="69"/>
      <c r="V40" s="67"/>
      <c r="W40" s="67"/>
      <c r="X40" s="72" t="str">
        <f>IF($A40="","",VLOOKUP(U40,'DB ESERCIZI'!$B$2:$K$83,9,FALSE))</f>
        <v/>
      </c>
      <c r="Y40" s="98" t="str">
        <f>IF($A40="","",HYPERLINK(VLOOKUP(U40,'DB ESERCIZI'!$B$2:$K$83,10,FALSE)))</f>
        <v/>
      </c>
    </row>
    <row r="41" spans="1:25" x14ac:dyDescent="0.25">
      <c r="A41" s="69"/>
      <c r="B41" s="67"/>
      <c r="C41" s="67"/>
      <c r="D41" s="72" t="str">
        <f>IF($A41="","",VLOOKUP(A41,'DB ESERCIZI'!$B$2:$K$83,9,FALSE))</f>
        <v/>
      </c>
      <c r="E41" s="98" t="str">
        <f>IF($A41="","",HYPERLINK(VLOOKUP(A41,'DB ESERCIZI'!$B$2:$K$83,10,FALSE)))</f>
        <v/>
      </c>
      <c r="F41" s="69"/>
      <c r="G41" s="67"/>
      <c r="H41" s="67"/>
      <c r="I41" s="72" t="str">
        <f>IF($A41="","",VLOOKUP(F41,'DB ESERCIZI'!$B$2:$K$83,9,FALSE))</f>
        <v/>
      </c>
      <c r="J41" s="98" t="str">
        <f>IF($A41="","",HYPERLINK(VLOOKUP(F41,'DB ESERCIZI'!$B$2:$K$83,10,FALSE)))</f>
        <v/>
      </c>
      <c r="K41" s="69"/>
      <c r="L41" s="67"/>
      <c r="M41" s="67"/>
      <c r="N41" s="72" t="str">
        <f>IF($A41="","",VLOOKUP(K41,'DB ESERCIZI'!$B$2:$K$83,9,FALSE))</f>
        <v/>
      </c>
      <c r="O41" s="98" t="str">
        <f>IF($A41="","",HYPERLINK(VLOOKUP(K41,'DB ESERCIZI'!$B$2:$K$83,10,FALSE)))</f>
        <v/>
      </c>
      <c r="P41" s="69"/>
      <c r="Q41" s="67"/>
      <c r="R41" s="67"/>
      <c r="S41" s="72" t="str">
        <f>IF($A41="","",VLOOKUP(P41,'DB ESERCIZI'!$B$2:$K$83,9,FALSE))</f>
        <v/>
      </c>
      <c r="T41" s="98" t="str">
        <f>IF($A41="","",HYPERLINK(VLOOKUP(P41,'DB ESERCIZI'!$B$2:$K$83,10,FALSE)))</f>
        <v/>
      </c>
      <c r="U41" s="69"/>
      <c r="V41" s="67"/>
      <c r="W41" s="67"/>
      <c r="X41" s="72" t="str">
        <f>IF($A41="","",VLOOKUP(U41,'DB ESERCIZI'!$B$2:$K$83,9,FALSE))</f>
        <v/>
      </c>
      <c r="Y41" s="98" t="str">
        <f>IF($A41="","",HYPERLINK(VLOOKUP(U41,'DB ESERCIZI'!$B$2:$K$83,10,FALSE)))</f>
        <v/>
      </c>
    </row>
    <row r="42" spans="1:25" x14ac:dyDescent="0.25">
      <c r="A42" s="69"/>
      <c r="B42" s="67"/>
      <c r="C42" s="67"/>
      <c r="D42" s="72" t="str">
        <f>IF($A42="","",VLOOKUP(A42,'DB ESERCIZI'!$B$2:$K$83,9,FALSE))</f>
        <v/>
      </c>
      <c r="E42" s="98" t="str">
        <f>IF($A42="","",HYPERLINK(VLOOKUP(A42,'DB ESERCIZI'!$B$2:$K$83,10,FALSE)))</f>
        <v/>
      </c>
      <c r="F42" s="69"/>
      <c r="G42" s="67"/>
      <c r="H42" s="67"/>
      <c r="I42" s="72" t="str">
        <f>IF($A42="","",VLOOKUP(F42,'DB ESERCIZI'!$B$2:$K$83,9,FALSE))</f>
        <v/>
      </c>
      <c r="J42" s="98" t="str">
        <f>IF($A42="","",HYPERLINK(VLOOKUP(F42,'DB ESERCIZI'!$B$2:$K$83,10,FALSE)))</f>
        <v/>
      </c>
      <c r="K42" s="69"/>
      <c r="L42" s="67"/>
      <c r="M42" s="67"/>
      <c r="N42" s="72" t="str">
        <f>IF($A42="","",VLOOKUP(K42,'DB ESERCIZI'!$B$2:$K$83,9,FALSE))</f>
        <v/>
      </c>
      <c r="O42" s="98" t="str">
        <f>IF($A42="","",HYPERLINK(VLOOKUP(K42,'DB ESERCIZI'!$B$2:$K$83,10,FALSE)))</f>
        <v/>
      </c>
      <c r="P42" s="69"/>
      <c r="Q42" s="67"/>
      <c r="R42" s="67"/>
      <c r="S42" s="72" t="str">
        <f>IF($A42="","",VLOOKUP(P42,'DB ESERCIZI'!$B$2:$K$83,9,FALSE))</f>
        <v/>
      </c>
      <c r="T42" s="98" t="str">
        <f>IF($A42="","",HYPERLINK(VLOOKUP(P42,'DB ESERCIZI'!$B$2:$K$83,10,FALSE)))</f>
        <v/>
      </c>
      <c r="U42" s="69"/>
      <c r="V42" s="67"/>
      <c r="W42" s="67"/>
      <c r="X42" s="72" t="str">
        <f>IF($A42="","",VLOOKUP(U42,'DB ESERCIZI'!$B$2:$K$83,9,FALSE))</f>
        <v/>
      </c>
      <c r="Y42" s="98" t="str">
        <f>IF($A42="","",HYPERLINK(VLOOKUP(U42,'DB ESERCIZI'!$B$2:$K$83,10,FALSE)))</f>
        <v/>
      </c>
    </row>
    <row r="43" spans="1:25" x14ac:dyDescent="0.25">
      <c r="A43" s="69"/>
      <c r="B43" s="67"/>
      <c r="C43" s="67"/>
      <c r="D43" s="72" t="str">
        <f>IF($A43="","",VLOOKUP(A43,'DB ESERCIZI'!$B$2:$K$83,9,FALSE))</f>
        <v/>
      </c>
      <c r="E43" s="98" t="str">
        <f>IF($A43="","",HYPERLINK(VLOOKUP(A43,'DB ESERCIZI'!$B$2:$K$83,10,FALSE)))</f>
        <v/>
      </c>
      <c r="F43" s="69"/>
      <c r="G43" s="67"/>
      <c r="H43" s="67"/>
      <c r="I43" s="72" t="str">
        <f>IF($A43="","",VLOOKUP(F43,'DB ESERCIZI'!$B$2:$K$83,9,FALSE))</f>
        <v/>
      </c>
      <c r="J43" s="98" t="str">
        <f>IF($A43="","",HYPERLINK(VLOOKUP(F43,'DB ESERCIZI'!$B$2:$K$83,10,FALSE)))</f>
        <v/>
      </c>
      <c r="K43" s="69"/>
      <c r="L43" s="67"/>
      <c r="M43" s="67"/>
      <c r="N43" s="72" t="str">
        <f>IF($A43="","",VLOOKUP(K43,'DB ESERCIZI'!$B$2:$K$83,9,FALSE))</f>
        <v/>
      </c>
      <c r="O43" s="98" t="str">
        <f>IF($A43="","",HYPERLINK(VLOOKUP(K43,'DB ESERCIZI'!$B$2:$K$83,10,FALSE)))</f>
        <v/>
      </c>
      <c r="P43" s="69"/>
      <c r="Q43" s="67"/>
      <c r="R43" s="67"/>
      <c r="S43" s="72" t="str">
        <f>IF($A43="","",VLOOKUP(P43,'DB ESERCIZI'!$B$2:$K$83,9,FALSE))</f>
        <v/>
      </c>
      <c r="T43" s="98" t="str">
        <f>IF($A43="","",HYPERLINK(VLOOKUP(P43,'DB ESERCIZI'!$B$2:$K$83,10,FALSE)))</f>
        <v/>
      </c>
      <c r="U43" s="69"/>
      <c r="V43" s="67"/>
      <c r="W43" s="67"/>
      <c r="X43" s="72" t="str">
        <f>IF($A43="","",VLOOKUP(U43,'DB ESERCIZI'!$B$2:$K$83,9,FALSE))</f>
        <v/>
      </c>
      <c r="Y43" s="98" t="str">
        <f>IF($A43="","",HYPERLINK(VLOOKUP(U43,'DB ESERCIZI'!$B$2:$K$83,10,FALSE)))</f>
        <v/>
      </c>
    </row>
    <row r="44" spans="1:25" x14ac:dyDescent="0.25">
      <c r="A44" s="69"/>
      <c r="B44" s="67"/>
      <c r="C44" s="67"/>
      <c r="D44" s="72" t="str">
        <f>IF($A44="","",VLOOKUP(A44,'DB ESERCIZI'!$B$2:$K$83,9,FALSE))</f>
        <v/>
      </c>
      <c r="E44" s="98" t="str">
        <f>IF($A44="","",HYPERLINK(VLOOKUP(A44,'DB ESERCIZI'!$B$2:$K$83,10,FALSE)))</f>
        <v/>
      </c>
      <c r="F44" s="69"/>
      <c r="G44" s="67"/>
      <c r="H44" s="67"/>
      <c r="I44" s="72" t="str">
        <f>IF($A44="","",VLOOKUP(F44,'DB ESERCIZI'!$B$2:$K$83,9,FALSE))</f>
        <v/>
      </c>
      <c r="J44" s="98" t="str">
        <f>IF($A44="","",HYPERLINK(VLOOKUP(F44,'DB ESERCIZI'!$B$2:$K$83,10,FALSE)))</f>
        <v/>
      </c>
      <c r="K44" s="69"/>
      <c r="L44" s="67"/>
      <c r="M44" s="67"/>
      <c r="N44" s="72" t="str">
        <f>IF($A44="","",VLOOKUP(K44,'DB ESERCIZI'!$B$2:$K$83,9,FALSE))</f>
        <v/>
      </c>
      <c r="O44" s="98" t="str">
        <f>IF($A44="","",HYPERLINK(VLOOKUP(K44,'DB ESERCIZI'!$B$2:$K$83,10,FALSE)))</f>
        <v/>
      </c>
      <c r="P44" s="69"/>
      <c r="Q44" s="67"/>
      <c r="R44" s="67"/>
      <c r="S44" s="72" t="str">
        <f>IF($A44="","",VLOOKUP(P44,'DB ESERCIZI'!$B$2:$K$83,9,FALSE))</f>
        <v/>
      </c>
      <c r="T44" s="98" t="str">
        <f>IF($A44="","",HYPERLINK(VLOOKUP(P44,'DB ESERCIZI'!$B$2:$K$83,10,FALSE)))</f>
        <v/>
      </c>
      <c r="U44" s="69"/>
      <c r="V44" s="67"/>
      <c r="W44" s="67"/>
      <c r="X44" s="72" t="str">
        <f>IF($A44="","",VLOOKUP(U44,'DB ESERCIZI'!$B$2:$K$83,9,FALSE))</f>
        <v/>
      </c>
      <c r="Y44" s="98" t="str">
        <f>IF($A44="","",HYPERLINK(VLOOKUP(U44,'DB ESERCIZI'!$B$2:$K$83,10,FALSE)))</f>
        <v/>
      </c>
    </row>
    <row r="45" spans="1:25" x14ac:dyDescent="0.25">
      <c r="A45" s="69"/>
      <c r="B45" s="67"/>
      <c r="C45" s="67"/>
      <c r="D45" s="72" t="str">
        <f>IF($A45="","",VLOOKUP(A45,'DB ESERCIZI'!$B$2:$K$83,9,FALSE))</f>
        <v/>
      </c>
      <c r="E45" s="98" t="str">
        <f>IF($A45="","",HYPERLINK(VLOOKUP(A45,'DB ESERCIZI'!$B$2:$K$83,10,FALSE)))</f>
        <v/>
      </c>
      <c r="F45" s="69"/>
      <c r="G45" s="67"/>
      <c r="H45" s="67"/>
      <c r="I45" s="72" t="str">
        <f>IF($A45="","",VLOOKUP(F45,'DB ESERCIZI'!$B$2:$K$83,9,FALSE))</f>
        <v/>
      </c>
      <c r="J45" s="98" t="str">
        <f>IF($A45="","",HYPERLINK(VLOOKUP(F45,'DB ESERCIZI'!$B$2:$K$83,10,FALSE)))</f>
        <v/>
      </c>
      <c r="K45" s="69"/>
      <c r="L45" s="67"/>
      <c r="M45" s="67"/>
      <c r="N45" s="72" t="str">
        <f>IF($A45="","",VLOOKUP(K45,'DB ESERCIZI'!$B$2:$K$83,9,FALSE))</f>
        <v/>
      </c>
      <c r="O45" s="98" t="str">
        <f>IF($A45="","",HYPERLINK(VLOOKUP(K45,'DB ESERCIZI'!$B$2:$K$83,10,FALSE)))</f>
        <v/>
      </c>
      <c r="P45" s="69"/>
      <c r="Q45" s="67"/>
      <c r="R45" s="67"/>
      <c r="S45" s="72" t="str">
        <f>IF($A45="","",VLOOKUP(P45,'DB ESERCIZI'!$B$2:$K$83,9,FALSE))</f>
        <v/>
      </c>
      <c r="T45" s="98" t="str">
        <f>IF($A45="","",HYPERLINK(VLOOKUP(P45,'DB ESERCIZI'!$B$2:$K$83,10,FALSE)))</f>
        <v/>
      </c>
      <c r="U45" s="69"/>
      <c r="V45" s="67"/>
      <c r="W45" s="67"/>
      <c r="X45" s="72" t="str">
        <f>IF($A45="","",VLOOKUP(U45,'DB ESERCIZI'!$B$2:$K$83,9,FALSE))</f>
        <v/>
      </c>
      <c r="Y45" s="98" t="str">
        <f>IF($A45="","",HYPERLINK(VLOOKUP(U45,'DB ESERCIZI'!$B$2:$K$83,10,FALSE)))</f>
        <v/>
      </c>
    </row>
    <row r="46" spans="1:25" x14ac:dyDescent="0.25">
      <c r="A46" s="69"/>
      <c r="B46" s="67"/>
      <c r="C46" s="67"/>
      <c r="D46" s="72" t="str">
        <f>IF($A46="","",VLOOKUP(A46,'DB ESERCIZI'!$B$2:$K$83,9,FALSE))</f>
        <v/>
      </c>
      <c r="E46" s="98" t="str">
        <f>IF($A46="","",HYPERLINK(VLOOKUP(A46,'DB ESERCIZI'!$B$2:$K$83,10,FALSE)))</f>
        <v/>
      </c>
      <c r="F46" s="69"/>
      <c r="G46" s="67"/>
      <c r="H46" s="67"/>
      <c r="I46" s="72" t="str">
        <f>IF($A46="","",VLOOKUP(F46,'DB ESERCIZI'!$B$2:$K$83,9,FALSE))</f>
        <v/>
      </c>
      <c r="J46" s="98" t="str">
        <f>IF($A46="","",HYPERLINK(VLOOKUP(F46,'DB ESERCIZI'!$B$2:$K$83,10,FALSE)))</f>
        <v/>
      </c>
      <c r="K46" s="69"/>
      <c r="L46" s="67"/>
      <c r="M46" s="67"/>
      <c r="N46" s="72" t="str">
        <f>IF($A46="","",VLOOKUP(K46,'DB ESERCIZI'!$B$2:$K$83,9,FALSE))</f>
        <v/>
      </c>
      <c r="O46" s="98" t="str">
        <f>IF($A46="","",HYPERLINK(VLOOKUP(K46,'DB ESERCIZI'!$B$2:$K$83,10,FALSE)))</f>
        <v/>
      </c>
      <c r="P46" s="69"/>
      <c r="Q46" s="67"/>
      <c r="R46" s="67"/>
      <c r="S46" s="72" t="str">
        <f>IF($A46="","",VLOOKUP(P46,'DB ESERCIZI'!$B$2:$K$83,9,FALSE))</f>
        <v/>
      </c>
      <c r="T46" s="98" t="str">
        <f>IF($A46="","",HYPERLINK(VLOOKUP(P46,'DB ESERCIZI'!$B$2:$K$83,10,FALSE)))</f>
        <v/>
      </c>
      <c r="U46" s="69"/>
      <c r="V46" s="67"/>
      <c r="W46" s="67"/>
      <c r="X46" s="72" t="str">
        <f>IF($A46="","",VLOOKUP(U46,'DB ESERCIZI'!$B$2:$K$83,9,FALSE))</f>
        <v/>
      </c>
      <c r="Y46" s="98" t="str">
        <f>IF($A46="","",HYPERLINK(VLOOKUP(U46,'DB ESERCIZI'!$B$2:$K$83,10,FALSE)))</f>
        <v/>
      </c>
    </row>
    <row r="47" spans="1:25" x14ac:dyDescent="0.25">
      <c r="A47" s="69"/>
      <c r="B47" s="67"/>
      <c r="C47" s="67"/>
      <c r="D47" s="72" t="str">
        <f>IF($A47="","",VLOOKUP(A47,'DB ESERCIZI'!$B$2:$K$83,9,FALSE))</f>
        <v/>
      </c>
      <c r="E47" s="98" t="str">
        <f>IF($A47="","",HYPERLINK(VLOOKUP(A47,'DB ESERCIZI'!$B$2:$K$83,10,FALSE)))</f>
        <v/>
      </c>
      <c r="F47" s="69"/>
      <c r="G47" s="67"/>
      <c r="H47" s="67"/>
      <c r="I47" s="72" t="str">
        <f>IF($A47="","",VLOOKUP(F47,'DB ESERCIZI'!$B$2:$K$83,9,FALSE))</f>
        <v/>
      </c>
      <c r="J47" s="98" t="str">
        <f>IF($A47="","",HYPERLINK(VLOOKUP(F47,'DB ESERCIZI'!$B$2:$K$83,10,FALSE)))</f>
        <v/>
      </c>
      <c r="K47" s="69"/>
      <c r="L47" s="67"/>
      <c r="M47" s="67"/>
      <c r="N47" s="72" t="str">
        <f>IF($A47="","",VLOOKUP(K47,'DB ESERCIZI'!$B$2:$K$83,9,FALSE))</f>
        <v/>
      </c>
      <c r="O47" s="98" t="str">
        <f>IF($A47="","",HYPERLINK(VLOOKUP(K47,'DB ESERCIZI'!$B$2:$K$83,10,FALSE)))</f>
        <v/>
      </c>
      <c r="P47" s="69"/>
      <c r="Q47" s="67"/>
      <c r="R47" s="67"/>
      <c r="S47" s="72" t="str">
        <f>IF($A47="","",VLOOKUP(P47,'DB ESERCIZI'!$B$2:$K$83,9,FALSE))</f>
        <v/>
      </c>
      <c r="T47" s="98" t="str">
        <f>IF($A47="","",HYPERLINK(VLOOKUP(P47,'DB ESERCIZI'!$B$2:$K$83,10,FALSE)))</f>
        <v/>
      </c>
      <c r="U47" s="69"/>
      <c r="V47" s="67"/>
      <c r="W47" s="67"/>
      <c r="X47" s="72" t="str">
        <f>IF($A47="","",VLOOKUP(U47,'DB ESERCIZI'!$B$2:$K$83,9,FALSE))</f>
        <v/>
      </c>
      <c r="Y47" s="98" t="str">
        <f>IF($A47="","",HYPERLINK(VLOOKUP(U47,'DB ESERCIZI'!$B$2:$K$83,10,FALSE)))</f>
        <v/>
      </c>
    </row>
    <row r="48" spans="1:25" x14ac:dyDescent="0.25">
      <c r="A48" s="69"/>
      <c r="B48" s="67"/>
      <c r="C48" s="67"/>
      <c r="D48" s="72" t="str">
        <f>IF($A48="","",VLOOKUP(A48,'DB ESERCIZI'!$B$2:$K$83,9,FALSE))</f>
        <v/>
      </c>
      <c r="E48" s="98" t="str">
        <f>IF($A48="","",HYPERLINK(VLOOKUP(A48,'DB ESERCIZI'!$B$2:$K$83,10,FALSE)))</f>
        <v/>
      </c>
      <c r="F48" s="69"/>
      <c r="G48" s="67"/>
      <c r="H48" s="67"/>
      <c r="I48" s="72" t="str">
        <f>IF($A48="","",VLOOKUP(F48,'DB ESERCIZI'!$B$2:$K$83,9,FALSE))</f>
        <v/>
      </c>
      <c r="J48" s="98" t="str">
        <f>IF($A48="","",HYPERLINK(VLOOKUP(F48,'DB ESERCIZI'!$B$2:$K$83,10,FALSE)))</f>
        <v/>
      </c>
      <c r="K48" s="69"/>
      <c r="L48" s="67"/>
      <c r="M48" s="67"/>
      <c r="N48" s="72" t="str">
        <f>IF($A48="","",VLOOKUP(K48,'DB ESERCIZI'!$B$2:$K$83,9,FALSE))</f>
        <v/>
      </c>
      <c r="O48" s="98" t="str">
        <f>IF($A48="","",HYPERLINK(VLOOKUP(K48,'DB ESERCIZI'!$B$2:$K$83,10,FALSE)))</f>
        <v/>
      </c>
      <c r="P48" s="69"/>
      <c r="Q48" s="67"/>
      <c r="R48" s="67"/>
      <c r="S48" s="72" t="str">
        <f>IF($A48="","",VLOOKUP(P48,'DB ESERCIZI'!$B$2:$K$83,9,FALSE))</f>
        <v/>
      </c>
      <c r="T48" s="98" t="str">
        <f>IF($A48="","",HYPERLINK(VLOOKUP(P48,'DB ESERCIZI'!$B$2:$K$83,10,FALSE)))</f>
        <v/>
      </c>
      <c r="U48" s="69"/>
      <c r="V48" s="67"/>
      <c r="W48" s="67"/>
      <c r="X48" s="72" t="str">
        <f>IF($A48="","",VLOOKUP(U48,'DB ESERCIZI'!$B$2:$K$83,9,FALSE))</f>
        <v/>
      </c>
      <c r="Y48" s="98" t="str">
        <f>IF($A48="","",HYPERLINK(VLOOKUP(U48,'DB ESERCIZI'!$B$2:$K$83,10,FALSE)))</f>
        <v/>
      </c>
    </row>
    <row r="49" spans="1:25" x14ac:dyDescent="0.25">
      <c r="A49" s="69"/>
      <c r="B49" s="67"/>
      <c r="C49" s="67"/>
      <c r="D49" s="72" t="str">
        <f>IF($A49="","",VLOOKUP(A49,'DB ESERCIZI'!$B$2:$K$83,9,FALSE))</f>
        <v/>
      </c>
      <c r="E49" s="98" t="str">
        <f>IF($A49="","",HYPERLINK(VLOOKUP(A49,'DB ESERCIZI'!$B$2:$K$83,10,FALSE)))</f>
        <v/>
      </c>
      <c r="F49" s="69"/>
      <c r="G49" s="67"/>
      <c r="H49" s="67"/>
      <c r="I49" s="72" t="str">
        <f>IF($A49="","",VLOOKUP(F49,'DB ESERCIZI'!$B$2:$K$83,9,FALSE))</f>
        <v/>
      </c>
      <c r="J49" s="98" t="str">
        <f>IF($A49="","",HYPERLINK(VLOOKUP(F49,'DB ESERCIZI'!$B$2:$K$83,10,FALSE)))</f>
        <v/>
      </c>
      <c r="K49" s="69"/>
      <c r="L49" s="67"/>
      <c r="M49" s="67"/>
      <c r="N49" s="72" t="str">
        <f>IF($A49="","",VLOOKUP(K49,'DB ESERCIZI'!$B$2:$K$83,9,FALSE))</f>
        <v/>
      </c>
      <c r="O49" s="98" t="str">
        <f>IF($A49="","",HYPERLINK(VLOOKUP(K49,'DB ESERCIZI'!$B$2:$K$83,10,FALSE)))</f>
        <v/>
      </c>
      <c r="P49" s="69"/>
      <c r="Q49" s="67"/>
      <c r="R49" s="67"/>
      <c r="S49" s="72" t="str">
        <f>IF($A49="","",VLOOKUP(P49,'DB ESERCIZI'!$B$2:$K$83,9,FALSE))</f>
        <v/>
      </c>
      <c r="T49" s="98" t="str">
        <f>IF($A49="","",HYPERLINK(VLOOKUP(P49,'DB ESERCIZI'!$B$2:$K$83,10,FALSE)))</f>
        <v/>
      </c>
      <c r="U49" s="69"/>
      <c r="V49" s="67"/>
      <c r="W49" s="67"/>
      <c r="X49" s="72" t="str">
        <f>IF($A49="","",VLOOKUP(U49,'DB ESERCIZI'!$B$2:$K$83,9,FALSE))</f>
        <v/>
      </c>
      <c r="Y49" s="98" t="str">
        <f>IF($A49="","",HYPERLINK(VLOOKUP(U49,'DB ESERCIZI'!$B$2:$K$83,10,FALSE)))</f>
        <v/>
      </c>
    </row>
    <row r="50" spans="1:25" x14ac:dyDescent="0.25">
      <c r="A50" s="69"/>
      <c r="B50" s="67"/>
      <c r="C50" s="67"/>
      <c r="D50" s="72" t="str">
        <f>IF($A50="","",VLOOKUP(A50,'DB ESERCIZI'!$B$2:$K$83,9,FALSE))</f>
        <v/>
      </c>
      <c r="E50" s="98" t="str">
        <f>IF($A50="","",HYPERLINK(VLOOKUP(A50,'DB ESERCIZI'!$B$2:$K$83,10,FALSE)))</f>
        <v/>
      </c>
      <c r="F50" s="69"/>
      <c r="G50" s="67"/>
      <c r="H50" s="67"/>
      <c r="I50" s="72" t="str">
        <f>IF($A50="","",VLOOKUP(F50,'DB ESERCIZI'!$B$2:$K$83,9,FALSE))</f>
        <v/>
      </c>
      <c r="J50" s="98" t="str">
        <f>IF($A50="","",HYPERLINK(VLOOKUP(F50,'DB ESERCIZI'!$B$2:$K$83,10,FALSE)))</f>
        <v/>
      </c>
      <c r="K50" s="69"/>
      <c r="L50" s="67"/>
      <c r="M50" s="67"/>
      <c r="N50" s="72" t="str">
        <f>IF($A50="","",VLOOKUP(K50,'DB ESERCIZI'!$B$2:$K$83,9,FALSE))</f>
        <v/>
      </c>
      <c r="O50" s="98" t="str">
        <f>IF($A50="","",HYPERLINK(VLOOKUP(K50,'DB ESERCIZI'!$B$2:$K$83,10,FALSE)))</f>
        <v/>
      </c>
      <c r="P50" s="69"/>
      <c r="Q50" s="67"/>
      <c r="R50" s="67"/>
      <c r="S50" s="72" t="str">
        <f>IF($A50="","",VLOOKUP(P50,'DB ESERCIZI'!$B$2:$K$83,9,FALSE))</f>
        <v/>
      </c>
      <c r="T50" s="98" t="str">
        <f>IF($A50="","",HYPERLINK(VLOOKUP(P50,'DB ESERCIZI'!$B$2:$K$83,10,FALSE)))</f>
        <v/>
      </c>
      <c r="U50" s="69"/>
      <c r="V50" s="67"/>
      <c r="W50" s="67"/>
      <c r="X50" s="72" t="str">
        <f>IF($A50="","",VLOOKUP(U50,'DB ESERCIZI'!$B$2:$K$83,9,FALSE))</f>
        <v/>
      </c>
      <c r="Y50" s="98" t="str">
        <f>IF($A50="","",HYPERLINK(VLOOKUP(U50,'DB ESERCIZI'!$B$2:$K$83,10,FALSE)))</f>
        <v/>
      </c>
    </row>
    <row r="51" spans="1:25" x14ac:dyDescent="0.25">
      <c r="A51" s="69"/>
      <c r="B51" s="67"/>
      <c r="C51" s="67"/>
      <c r="D51" s="72" t="str">
        <f>IF($A51="","",VLOOKUP(A51,'DB ESERCIZI'!$B$2:$K$83,9,FALSE))</f>
        <v/>
      </c>
      <c r="E51" s="98" t="str">
        <f>IF($A51="","",HYPERLINK(VLOOKUP(A51,'DB ESERCIZI'!$B$2:$K$83,10,FALSE)))</f>
        <v/>
      </c>
      <c r="F51" s="69"/>
      <c r="G51" s="67"/>
      <c r="H51" s="67"/>
      <c r="I51" s="72" t="str">
        <f>IF($A51="","",VLOOKUP(F51,'DB ESERCIZI'!$B$2:$K$83,9,FALSE))</f>
        <v/>
      </c>
      <c r="J51" s="98" t="str">
        <f>IF($A51="","",HYPERLINK(VLOOKUP(F51,'DB ESERCIZI'!$B$2:$K$83,10,FALSE)))</f>
        <v/>
      </c>
      <c r="K51" s="69"/>
      <c r="L51" s="67"/>
      <c r="M51" s="67"/>
      <c r="N51" s="72" t="str">
        <f>IF($A51="","",VLOOKUP(K51,'DB ESERCIZI'!$B$2:$K$83,9,FALSE))</f>
        <v/>
      </c>
      <c r="O51" s="98" t="str">
        <f>IF($A51="","",HYPERLINK(VLOOKUP(K51,'DB ESERCIZI'!$B$2:$K$83,10,FALSE)))</f>
        <v/>
      </c>
      <c r="P51" s="69"/>
      <c r="Q51" s="67"/>
      <c r="R51" s="67"/>
      <c r="S51" s="72" t="str">
        <f>IF($A51="","",VLOOKUP(P51,'DB ESERCIZI'!$B$2:$K$83,9,FALSE))</f>
        <v/>
      </c>
      <c r="T51" s="98" t="str">
        <f>IF($A51="","",HYPERLINK(VLOOKUP(P51,'DB ESERCIZI'!$B$2:$K$83,10,FALSE)))</f>
        <v/>
      </c>
      <c r="U51" s="69"/>
      <c r="V51" s="67"/>
      <c r="W51" s="67"/>
      <c r="X51" s="72" t="str">
        <f>IF($A51="","",VLOOKUP(U51,'DB ESERCIZI'!$B$2:$K$83,9,FALSE))</f>
        <v/>
      </c>
      <c r="Y51" s="98" t="str">
        <f>IF($A51="","",HYPERLINK(VLOOKUP(U51,'DB ESERCIZI'!$B$2:$K$83,10,FALSE)))</f>
        <v/>
      </c>
    </row>
    <row r="52" spans="1:25" x14ac:dyDescent="0.25">
      <c r="A52" s="69"/>
      <c r="B52" s="67"/>
      <c r="C52" s="67"/>
      <c r="D52" s="72" t="str">
        <f>IF($A52="","",VLOOKUP(A52,'DB ESERCIZI'!$B$2:$K$83,9,FALSE))</f>
        <v/>
      </c>
      <c r="E52" s="98" t="str">
        <f>IF($A52="","",HYPERLINK(VLOOKUP(A52,'DB ESERCIZI'!$B$2:$K$83,10,FALSE)))</f>
        <v/>
      </c>
      <c r="F52" s="69"/>
      <c r="G52" s="67"/>
      <c r="H52" s="67"/>
      <c r="I52" s="72" t="str">
        <f>IF($A52="","",VLOOKUP(F52,'DB ESERCIZI'!$B$2:$K$83,9,FALSE))</f>
        <v/>
      </c>
      <c r="J52" s="98" t="str">
        <f>IF($A52="","",HYPERLINK(VLOOKUP(F52,'DB ESERCIZI'!$B$2:$K$83,10,FALSE)))</f>
        <v/>
      </c>
      <c r="K52" s="69"/>
      <c r="L52" s="67"/>
      <c r="M52" s="67"/>
      <c r="N52" s="72" t="str">
        <f>IF($A52="","",VLOOKUP(K52,'DB ESERCIZI'!$B$2:$K$83,9,FALSE))</f>
        <v/>
      </c>
      <c r="O52" s="98" t="str">
        <f>IF($A52="","",HYPERLINK(VLOOKUP(K52,'DB ESERCIZI'!$B$2:$K$83,10,FALSE)))</f>
        <v/>
      </c>
      <c r="P52" s="69"/>
      <c r="Q52" s="67"/>
      <c r="R52" s="67"/>
      <c r="S52" s="72" t="str">
        <f>IF($A52="","",VLOOKUP(P52,'DB ESERCIZI'!$B$2:$K$83,9,FALSE))</f>
        <v/>
      </c>
      <c r="T52" s="98" t="str">
        <f>IF($A52="","",HYPERLINK(VLOOKUP(P52,'DB ESERCIZI'!$B$2:$K$83,10,FALSE)))</f>
        <v/>
      </c>
      <c r="U52" s="69"/>
      <c r="V52" s="67"/>
      <c r="W52" s="67"/>
      <c r="X52" s="72" t="str">
        <f>IF($A52="","",VLOOKUP(U52,'DB ESERCIZI'!$B$2:$K$83,9,FALSE))</f>
        <v/>
      </c>
      <c r="Y52" s="98" t="str">
        <f>IF($A52="","",HYPERLINK(VLOOKUP(U52,'DB ESERCIZI'!$B$2:$K$83,10,FALSE)))</f>
        <v/>
      </c>
    </row>
    <row r="53" spans="1:25" x14ac:dyDescent="0.25">
      <c r="A53" s="69"/>
      <c r="B53" s="67"/>
      <c r="C53" s="67"/>
      <c r="D53" s="72" t="str">
        <f>IF($A53="","",VLOOKUP(A53,'DB ESERCIZI'!$B$2:$K$83,9,FALSE))</f>
        <v/>
      </c>
      <c r="E53" s="98" t="str">
        <f>IF($A53="","",HYPERLINK(VLOOKUP(A53,'DB ESERCIZI'!$B$2:$K$83,10,FALSE)))</f>
        <v/>
      </c>
      <c r="F53" s="69"/>
      <c r="G53" s="67"/>
      <c r="H53" s="67"/>
      <c r="I53" s="72" t="str">
        <f>IF($A53="","",VLOOKUP(F53,'DB ESERCIZI'!$B$2:$K$83,9,FALSE))</f>
        <v/>
      </c>
      <c r="J53" s="98" t="str">
        <f>IF($A53="","",HYPERLINK(VLOOKUP(F53,'DB ESERCIZI'!$B$2:$K$83,10,FALSE)))</f>
        <v/>
      </c>
      <c r="K53" s="69"/>
      <c r="L53" s="67"/>
      <c r="M53" s="67"/>
      <c r="N53" s="72" t="str">
        <f>IF($A53="","",VLOOKUP(K53,'DB ESERCIZI'!$B$2:$K$83,9,FALSE))</f>
        <v/>
      </c>
      <c r="O53" s="98" t="str">
        <f>IF($A53="","",HYPERLINK(VLOOKUP(K53,'DB ESERCIZI'!$B$2:$K$83,10,FALSE)))</f>
        <v/>
      </c>
      <c r="P53" s="69"/>
      <c r="Q53" s="67"/>
      <c r="R53" s="67"/>
      <c r="S53" s="72" t="str">
        <f>IF($A53="","",VLOOKUP(P53,'DB ESERCIZI'!$B$2:$K$83,9,FALSE))</f>
        <v/>
      </c>
      <c r="T53" s="98" t="str">
        <f>IF($A53="","",HYPERLINK(VLOOKUP(P53,'DB ESERCIZI'!$B$2:$K$83,10,FALSE)))</f>
        <v/>
      </c>
      <c r="U53" s="69"/>
      <c r="V53" s="67"/>
      <c r="W53" s="67"/>
      <c r="X53" s="72" t="str">
        <f>IF($A53="","",VLOOKUP(U53,'DB ESERCIZI'!$B$2:$K$83,9,FALSE))</f>
        <v/>
      </c>
      <c r="Y53" s="98" t="str">
        <f>IF($A53="","",HYPERLINK(VLOOKUP(U53,'DB ESERCIZI'!$B$2:$K$83,10,FALSE)))</f>
        <v/>
      </c>
    </row>
    <row r="54" spans="1:25" x14ac:dyDescent="0.25">
      <c r="A54" s="69"/>
      <c r="B54" s="67"/>
      <c r="C54" s="67"/>
      <c r="D54" s="72" t="str">
        <f>IF($A54="","",VLOOKUP(A54,'DB ESERCIZI'!$B$2:$K$83,9,FALSE))</f>
        <v/>
      </c>
      <c r="E54" s="98" t="str">
        <f>IF($A54="","",HYPERLINK(VLOOKUP(A54,'DB ESERCIZI'!$B$2:$K$83,10,FALSE)))</f>
        <v/>
      </c>
      <c r="F54" s="69"/>
      <c r="G54" s="67"/>
      <c r="H54" s="67"/>
      <c r="I54" s="72" t="str">
        <f>IF($A54="","",VLOOKUP(F54,'DB ESERCIZI'!$B$2:$K$83,9,FALSE))</f>
        <v/>
      </c>
      <c r="J54" s="98" t="str">
        <f>IF($A54="","",HYPERLINK(VLOOKUP(F54,'DB ESERCIZI'!$B$2:$K$83,10,FALSE)))</f>
        <v/>
      </c>
      <c r="K54" s="69"/>
      <c r="L54" s="67"/>
      <c r="M54" s="67"/>
      <c r="N54" s="72" t="str">
        <f>IF($A54="","",VLOOKUP(K54,'DB ESERCIZI'!$B$2:$K$83,9,FALSE))</f>
        <v/>
      </c>
      <c r="O54" s="98" t="str">
        <f>IF($A54="","",HYPERLINK(VLOOKUP(K54,'DB ESERCIZI'!$B$2:$K$83,10,FALSE)))</f>
        <v/>
      </c>
      <c r="P54" s="69"/>
      <c r="Q54" s="67"/>
      <c r="R54" s="67"/>
      <c r="S54" s="72" t="str">
        <f>IF($A54="","",VLOOKUP(P54,'DB ESERCIZI'!$B$2:$K$83,9,FALSE))</f>
        <v/>
      </c>
      <c r="T54" s="98" t="str">
        <f>IF($A54="","",HYPERLINK(VLOOKUP(P54,'DB ESERCIZI'!$B$2:$K$83,10,FALSE)))</f>
        <v/>
      </c>
      <c r="U54" s="69"/>
      <c r="V54" s="67"/>
      <c r="W54" s="67"/>
      <c r="X54" s="72" t="str">
        <f>IF($A54="","",VLOOKUP(U54,'DB ESERCIZI'!$B$2:$K$83,9,FALSE))</f>
        <v/>
      </c>
      <c r="Y54" s="98" t="str">
        <f>IF($A54="","",HYPERLINK(VLOOKUP(U54,'DB ESERCIZI'!$B$2:$K$83,10,FALSE)))</f>
        <v/>
      </c>
    </row>
    <row r="55" spans="1:25" x14ac:dyDescent="0.25">
      <c r="A55" s="69"/>
      <c r="B55" s="67"/>
      <c r="C55" s="67"/>
      <c r="D55" s="72" t="str">
        <f>IF($A55="","",VLOOKUP(A55,'DB ESERCIZI'!$B$2:$K$83,9,FALSE))</f>
        <v/>
      </c>
      <c r="E55" s="98" t="str">
        <f>IF($A55="","",HYPERLINK(VLOOKUP(A55,'DB ESERCIZI'!$B$2:$K$83,10,FALSE)))</f>
        <v/>
      </c>
      <c r="F55" s="69"/>
      <c r="G55" s="67"/>
      <c r="H55" s="67"/>
      <c r="I55" s="72" t="str">
        <f>IF($A55="","",VLOOKUP(F55,'DB ESERCIZI'!$B$2:$K$83,9,FALSE))</f>
        <v/>
      </c>
      <c r="J55" s="98" t="str">
        <f>IF($A55="","",HYPERLINK(VLOOKUP(F55,'DB ESERCIZI'!$B$2:$K$83,10,FALSE)))</f>
        <v/>
      </c>
      <c r="K55" s="69"/>
      <c r="L55" s="67"/>
      <c r="M55" s="67"/>
      <c r="N55" s="72" t="str">
        <f>IF($A55="","",VLOOKUP(K55,'DB ESERCIZI'!$B$2:$K$83,9,FALSE))</f>
        <v/>
      </c>
      <c r="O55" s="98" t="str">
        <f>IF($A55="","",HYPERLINK(VLOOKUP(K55,'DB ESERCIZI'!$B$2:$K$83,10,FALSE)))</f>
        <v/>
      </c>
      <c r="P55" s="69"/>
      <c r="Q55" s="67"/>
      <c r="R55" s="67"/>
      <c r="S55" s="72" t="str">
        <f>IF($A55="","",VLOOKUP(P55,'DB ESERCIZI'!$B$2:$K$83,9,FALSE))</f>
        <v/>
      </c>
      <c r="T55" s="98" t="str">
        <f>IF($A55="","",HYPERLINK(VLOOKUP(P55,'DB ESERCIZI'!$B$2:$K$83,10,FALSE)))</f>
        <v/>
      </c>
      <c r="U55" s="69"/>
      <c r="V55" s="67"/>
      <c r="W55" s="67"/>
      <c r="X55" s="72" t="str">
        <f>IF($A55="","",VLOOKUP(U55,'DB ESERCIZI'!$B$2:$K$83,9,FALSE))</f>
        <v/>
      </c>
      <c r="Y55" s="98" t="str">
        <f>IF($A55="","",HYPERLINK(VLOOKUP(U55,'DB ESERCIZI'!$B$2:$K$83,10,FALSE)))</f>
        <v/>
      </c>
    </row>
    <row r="56" spans="1:25" x14ac:dyDescent="0.25">
      <c r="A56" s="69"/>
      <c r="B56" s="67"/>
      <c r="C56" s="67"/>
      <c r="D56" s="68" t="str">
        <f>IF($A56="","",VLOOKUP(A56,'DB ESERCIZI'!$B$2:$K$83,9,FALSE))</f>
        <v/>
      </c>
      <c r="E56" s="99" t="str">
        <f>IF($A56="","",HYPERLINK(VLOOKUP(A56,'DB ESERCIZI'!$B$2:$K$83,10,FALSE)))</f>
        <v/>
      </c>
      <c r="F56" s="69"/>
      <c r="G56" s="67"/>
      <c r="H56" s="67"/>
      <c r="I56" s="68" t="str">
        <f>IF($A56="","",VLOOKUP(F56,'DB ESERCIZI'!$B$2:$K$83,9,FALSE))</f>
        <v/>
      </c>
      <c r="J56" s="99" t="str">
        <f>IF($A56="","",HYPERLINK(VLOOKUP(F56,'DB ESERCIZI'!$B$2:$K$83,10,FALSE)))</f>
        <v/>
      </c>
      <c r="K56" s="69"/>
      <c r="L56" s="67"/>
      <c r="M56" s="67"/>
      <c r="N56" s="68" t="str">
        <f>IF($A56="","",VLOOKUP(K56,'DB ESERCIZI'!$B$2:$K$83,9,FALSE))</f>
        <v/>
      </c>
      <c r="O56" s="99" t="str">
        <f>IF($A56="","",HYPERLINK(VLOOKUP(K56,'DB ESERCIZI'!$B$2:$K$83,10,FALSE)))</f>
        <v/>
      </c>
      <c r="P56" s="69"/>
      <c r="Q56" s="67"/>
      <c r="R56" s="67"/>
      <c r="S56" s="68" t="str">
        <f>IF($A56="","",VLOOKUP(P56,'DB ESERCIZI'!$B$2:$K$83,9,FALSE))</f>
        <v/>
      </c>
      <c r="T56" s="99" t="str">
        <f>IF($A56="","",HYPERLINK(VLOOKUP(P56,'DB ESERCIZI'!$B$2:$K$83,10,FALSE)))</f>
        <v/>
      </c>
      <c r="U56" s="69"/>
      <c r="V56" s="67"/>
      <c r="W56" s="67"/>
      <c r="X56" s="68" t="str">
        <f>IF($A56="","",VLOOKUP(U56,'DB ESERCIZI'!$B$2:$K$83,9,FALSE))</f>
        <v/>
      </c>
      <c r="Y56" s="99" t="str">
        <f>IF($A56="","",HYPERLINK(VLOOKUP(U56,'DB ESERCIZI'!$B$2:$K$83,10,FALSE)))</f>
        <v/>
      </c>
    </row>
    <row r="57" spans="1:25" x14ac:dyDescent="0.25">
      <c r="A57" s="69"/>
      <c r="B57" s="67"/>
      <c r="C57" s="67"/>
      <c r="D57" s="68" t="str">
        <f>IF($A57="","",VLOOKUP(A57,'DB ESERCIZI'!$B$2:$K$83,9,FALSE))</f>
        <v/>
      </c>
      <c r="E57" s="99" t="str">
        <f>IF($A57="","",HYPERLINK(VLOOKUP(A57,'DB ESERCIZI'!$B$2:$K$83,10,FALSE)))</f>
        <v/>
      </c>
      <c r="F57" s="69"/>
      <c r="G57" s="67"/>
      <c r="H57" s="67"/>
      <c r="I57" s="68" t="str">
        <f>IF($A57="","",VLOOKUP(F57,'DB ESERCIZI'!$B$2:$K$83,9,FALSE))</f>
        <v/>
      </c>
      <c r="J57" s="99" t="str">
        <f>IF($A57="","",HYPERLINK(VLOOKUP(F57,'DB ESERCIZI'!$B$2:$K$83,10,FALSE)))</f>
        <v/>
      </c>
      <c r="K57" s="69"/>
      <c r="L57" s="67"/>
      <c r="M57" s="67"/>
      <c r="N57" s="68" t="str">
        <f>IF($A57="","",VLOOKUP(K57,'DB ESERCIZI'!$B$2:$K$83,9,FALSE))</f>
        <v/>
      </c>
      <c r="O57" s="99" t="str">
        <f>IF($A57="","",HYPERLINK(VLOOKUP(K57,'DB ESERCIZI'!$B$2:$K$83,10,FALSE)))</f>
        <v/>
      </c>
      <c r="P57" s="69"/>
      <c r="Q57" s="67"/>
      <c r="R57" s="67"/>
      <c r="S57" s="68" t="str">
        <f>IF($A57="","",VLOOKUP(P57,'DB ESERCIZI'!$B$2:$K$83,9,FALSE))</f>
        <v/>
      </c>
      <c r="T57" s="99" t="str">
        <f>IF($A57="","",HYPERLINK(VLOOKUP(P57,'DB ESERCIZI'!$B$2:$K$83,10,FALSE)))</f>
        <v/>
      </c>
      <c r="U57" s="69"/>
      <c r="V57" s="67"/>
      <c r="W57" s="67"/>
      <c r="X57" s="68" t="str">
        <f>IF($A57="","",VLOOKUP(U57,'DB ESERCIZI'!$B$2:$K$83,9,FALSE))</f>
        <v/>
      </c>
      <c r="Y57" s="99" t="str">
        <f>IF($A57="","",HYPERLINK(VLOOKUP(U57,'DB ESERCIZI'!$B$2:$K$83,10,FALSE)))</f>
        <v/>
      </c>
    </row>
    <row r="58" spans="1:25" x14ac:dyDescent="0.25">
      <c r="A58" s="69"/>
      <c r="B58" s="67"/>
      <c r="C58" s="67"/>
      <c r="D58" s="72" t="str">
        <f>IF($A58="","",VLOOKUP(A58,'DB ESERCIZI'!$B$2:$K$83,9,FALSE))</f>
        <v/>
      </c>
      <c r="E58" s="98" t="str">
        <f>IF($A58="","",HYPERLINK(VLOOKUP(A58,'DB ESERCIZI'!$B$2:$K$83,10,FALSE)))</f>
        <v/>
      </c>
      <c r="F58" s="69"/>
      <c r="G58" s="67"/>
      <c r="H58" s="67"/>
      <c r="I58" s="72" t="str">
        <f>IF($A58="","",VLOOKUP(F58,'DB ESERCIZI'!$B$2:$K$83,9,FALSE))</f>
        <v/>
      </c>
      <c r="J58" s="98" t="str">
        <f>IF($A58="","",HYPERLINK(VLOOKUP(F58,'DB ESERCIZI'!$B$2:$K$83,10,FALSE)))</f>
        <v/>
      </c>
      <c r="K58" s="69"/>
      <c r="L58" s="67"/>
      <c r="M58" s="67"/>
      <c r="N58" s="72" t="str">
        <f>IF($A58="","",VLOOKUP(K58,'DB ESERCIZI'!$B$2:$K$83,9,FALSE))</f>
        <v/>
      </c>
      <c r="O58" s="98" t="str">
        <f>IF($A58="","",HYPERLINK(VLOOKUP(K58,'DB ESERCIZI'!$B$2:$K$83,10,FALSE)))</f>
        <v/>
      </c>
      <c r="P58" s="69"/>
      <c r="Q58" s="67"/>
      <c r="R58" s="67"/>
      <c r="S58" s="72" t="str">
        <f>IF($A58="","",VLOOKUP(P58,'DB ESERCIZI'!$B$2:$K$83,9,FALSE))</f>
        <v/>
      </c>
      <c r="T58" s="98" t="str">
        <f>IF($A58="","",HYPERLINK(VLOOKUP(P58,'DB ESERCIZI'!$B$2:$K$83,10,FALSE)))</f>
        <v/>
      </c>
      <c r="U58" s="69"/>
      <c r="V58" s="67"/>
      <c r="W58" s="67"/>
      <c r="X58" s="72" t="str">
        <f>IF($A58="","",VLOOKUP(U58,'DB ESERCIZI'!$B$2:$K$83,9,FALSE))</f>
        <v/>
      </c>
      <c r="Y58" s="98" t="str">
        <f>IF($A58="","",HYPERLINK(VLOOKUP(U58,'DB ESERCIZI'!$B$2:$K$83,10,FALSE)))</f>
        <v/>
      </c>
    </row>
    <row r="59" spans="1:25" x14ac:dyDescent="0.25">
      <c r="A59" s="69"/>
      <c r="B59" s="67"/>
      <c r="C59" s="67"/>
      <c r="D59" s="72" t="str">
        <f>IF($A59="","",VLOOKUP(A59,'DB ESERCIZI'!$B$2:$K$83,9,FALSE))</f>
        <v/>
      </c>
      <c r="E59" s="98" t="str">
        <f>IF($A59="","",HYPERLINK(VLOOKUP(A59,'DB ESERCIZI'!$B$2:$K$83,10,FALSE)))</f>
        <v/>
      </c>
      <c r="F59" s="69"/>
      <c r="G59" s="67"/>
      <c r="H59" s="67"/>
      <c r="I59" s="72" t="str">
        <f>IF($A59="","",VLOOKUP(F59,'DB ESERCIZI'!$B$2:$K$83,9,FALSE))</f>
        <v/>
      </c>
      <c r="J59" s="98" t="str">
        <f>IF($A59="","",HYPERLINK(VLOOKUP(F59,'DB ESERCIZI'!$B$2:$K$83,10,FALSE)))</f>
        <v/>
      </c>
      <c r="K59" s="69"/>
      <c r="L59" s="67"/>
      <c r="M59" s="67"/>
      <c r="N59" s="72" t="str">
        <f>IF($A59="","",VLOOKUP(K59,'DB ESERCIZI'!$B$2:$K$83,9,FALSE))</f>
        <v/>
      </c>
      <c r="O59" s="98" t="str">
        <f>IF($A59="","",HYPERLINK(VLOOKUP(K59,'DB ESERCIZI'!$B$2:$K$83,10,FALSE)))</f>
        <v/>
      </c>
      <c r="P59" s="69"/>
      <c r="Q59" s="67"/>
      <c r="R59" s="67"/>
      <c r="S59" s="72" t="str">
        <f>IF($A59="","",VLOOKUP(P59,'DB ESERCIZI'!$B$2:$K$83,9,FALSE))</f>
        <v/>
      </c>
      <c r="T59" s="98" t="str">
        <f>IF($A59="","",HYPERLINK(VLOOKUP(P59,'DB ESERCIZI'!$B$2:$K$83,10,FALSE)))</f>
        <v/>
      </c>
      <c r="U59" s="69"/>
      <c r="V59" s="67"/>
      <c r="W59" s="67"/>
      <c r="X59" s="72" t="str">
        <f>IF($A59="","",VLOOKUP(U59,'DB ESERCIZI'!$B$2:$K$83,9,FALSE))</f>
        <v/>
      </c>
      <c r="Y59" s="98" t="str">
        <f>IF($A59="","",HYPERLINK(VLOOKUP(U59,'DB ESERCIZI'!$B$2:$K$83,10,FALSE)))</f>
        <v/>
      </c>
    </row>
    <row r="60" spans="1:25" x14ac:dyDescent="0.25">
      <c r="A60" s="69"/>
      <c r="B60" s="67"/>
      <c r="C60" s="67"/>
      <c r="D60" s="72" t="str">
        <f>IF($A60="","",VLOOKUP(A60,'DB ESERCIZI'!$B$2:$K$83,9,FALSE))</f>
        <v/>
      </c>
      <c r="E60" s="98" t="str">
        <f>IF($A60="","",HYPERLINK(VLOOKUP(A60,'DB ESERCIZI'!$B$2:$K$83,10,FALSE)))</f>
        <v/>
      </c>
      <c r="F60" s="69"/>
      <c r="G60" s="67"/>
      <c r="H60" s="67"/>
      <c r="I60" s="72" t="str">
        <f>IF($A60="","",VLOOKUP(F60,'DB ESERCIZI'!$B$2:$K$83,9,FALSE))</f>
        <v/>
      </c>
      <c r="J60" s="98" t="str">
        <f>IF($A60="","",HYPERLINK(VLOOKUP(F60,'DB ESERCIZI'!$B$2:$K$83,10,FALSE)))</f>
        <v/>
      </c>
      <c r="K60" s="69"/>
      <c r="L60" s="67"/>
      <c r="M60" s="67"/>
      <c r="N60" s="72" t="str">
        <f>IF($A60="","",VLOOKUP(K60,'DB ESERCIZI'!$B$2:$K$83,9,FALSE))</f>
        <v/>
      </c>
      <c r="O60" s="98" t="str">
        <f>IF($A60="","",HYPERLINK(VLOOKUP(K60,'DB ESERCIZI'!$B$2:$K$83,10,FALSE)))</f>
        <v/>
      </c>
      <c r="P60" s="69"/>
      <c r="Q60" s="67"/>
      <c r="R60" s="67"/>
      <c r="S60" s="72" t="str">
        <f>IF($A60="","",VLOOKUP(P60,'DB ESERCIZI'!$B$2:$K$83,9,FALSE))</f>
        <v/>
      </c>
      <c r="T60" s="98" t="str">
        <f>IF($A60="","",HYPERLINK(VLOOKUP(P60,'DB ESERCIZI'!$B$2:$K$83,10,FALSE)))</f>
        <v/>
      </c>
      <c r="U60" s="69"/>
      <c r="V60" s="67"/>
      <c r="W60" s="67"/>
      <c r="X60" s="72" t="str">
        <f>IF($A60="","",VLOOKUP(U60,'DB ESERCIZI'!$B$2:$K$83,9,FALSE))</f>
        <v/>
      </c>
      <c r="Y60" s="98" t="str">
        <f>IF($A60="","",HYPERLINK(VLOOKUP(U60,'DB ESERCIZI'!$B$2:$K$83,10,FALSE)))</f>
        <v/>
      </c>
    </row>
    <row r="61" spans="1:25" x14ac:dyDescent="0.25">
      <c r="A61" s="69"/>
      <c r="B61" s="67"/>
      <c r="C61" s="67"/>
      <c r="D61" s="72" t="str">
        <f>IF($A61="","",VLOOKUP(A61,'DB ESERCIZI'!$B$2:$K$83,9,FALSE))</f>
        <v/>
      </c>
      <c r="E61" s="98" t="str">
        <f>IF($A61="","",HYPERLINK(VLOOKUP(A61,'DB ESERCIZI'!$B$2:$K$83,10,FALSE)))</f>
        <v/>
      </c>
      <c r="F61" s="69"/>
      <c r="G61" s="67"/>
      <c r="H61" s="67"/>
      <c r="I61" s="72" t="str">
        <f>IF($A61="","",VLOOKUP(F61,'DB ESERCIZI'!$B$2:$K$83,9,FALSE))</f>
        <v/>
      </c>
      <c r="J61" s="98" t="str">
        <f>IF($A61="","",HYPERLINK(VLOOKUP(F61,'DB ESERCIZI'!$B$2:$K$83,10,FALSE)))</f>
        <v/>
      </c>
      <c r="K61" s="69"/>
      <c r="L61" s="67"/>
      <c r="M61" s="67"/>
      <c r="N61" s="72" t="str">
        <f>IF($A61="","",VLOOKUP(K61,'DB ESERCIZI'!$B$2:$K$83,9,FALSE))</f>
        <v/>
      </c>
      <c r="O61" s="98" t="str">
        <f>IF($A61="","",HYPERLINK(VLOOKUP(K61,'DB ESERCIZI'!$B$2:$K$83,10,FALSE)))</f>
        <v/>
      </c>
      <c r="P61" s="69"/>
      <c r="Q61" s="67"/>
      <c r="R61" s="67"/>
      <c r="S61" s="72" t="str">
        <f>IF($A61="","",VLOOKUP(P61,'DB ESERCIZI'!$B$2:$K$83,9,FALSE))</f>
        <v/>
      </c>
      <c r="T61" s="98" t="str">
        <f>IF($A61="","",HYPERLINK(VLOOKUP(P61,'DB ESERCIZI'!$B$2:$K$83,10,FALSE)))</f>
        <v/>
      </c>
      <c r="U61" s="69"/>
      <c r="V61" s="67"/>
      <c r="W61" s="67"/>
      <c r="X61" s="72" t="str">
        <f>IF($A61="","",VLOOKUP(U61,'DB ESERCIZI'!$B$2:$K$83,9,FALSE))</f>
        <v/>
      </c>
      <c r="Y61" s="98" t="str">
        <f>IF($A61="","",HYPERLINK(VLOOKUP(U61,'DB ESERCIZI'!$B$2:$K$83,10,FALSE)))</f>
        <v/>
      </c>
    </row>
    <row r="62" spans="1:25" x14ac:dyDescent="0.25">
      <c r="A62" s="69"/>
      <c r="B62" s="67"/>
      <c r="C62" s="67"/>
      <c r="D62" s="72" t="str">
        <f>IF($A62="","",VLOOKUP(A62,'DB ESERCIZI'!$B$2:$K$83,9,FALSE))</f>
        <v/>
      </c>
      <c r="E62" s="98" t="str">
        <f>IF($A62="","",HYPERLINK(VLOOKUP(A62,'DB ESERCIZI'!$B$2:$K$83,10,FALSE)))</f>
        <v/>
      </c>
      <c r="F62" s="69"/>
      <c r="G62" s="67"/>
      <c r="H62" s="67"/>
      <c r="I62" s="72" t="str">
        <f>IF($A62="","",VLOOKUP(F62,'DB ESERCIZI'!$B$2:$K$83,9,FALSE))</f>
        <v/>
      </c>
      <c r="J62" s="98" t="str">
        <f>IF($A62="","",HYPERLINK(VLOOKUP(F62,'DB ESERCIZI'!$B$2:$K$83,10,FALSE)))</f>
        <v/>
      </c>
      <c r="K62" s="69"/>
      <c r="L62" s="67"/>
      <c r="M62" s="67"/>
      <c r="N62" s="72" t="str">
        <f>IF($A62="","",VLOOKUP(K62,'DB ESERCIZI'!$B$2:$K$83,9,FALSE))</f>
        <v/>
      </c>
      <c r="O62" s="98" t="str">
        <f>IF($A62="","",HYPERLINK(VLOOKUP(K62,'DB ESERCIZI'!$B$2:$K$83,10,FALSE)))</f>
        <v/>
      </c>
      <c r="P62" s="69"/>
      <c r="Q62" s="67"/>
      <c r="R62" s="67"/>
      <c r="S62" s="72" t="str">
        <f>IF($A62="","",VLOOKUP(P62,'DB ESERCIZI'!$B$2:$K$83,9,FALSE))</f>
        <v/>
      </c>
      <c r="T62" s="98" t="str">
        <f>IF($A62="","",HYPERLINK(VLOOKUP(P62,'DB ESERCIZI'!$B$2:$K$83,10,FALSE)))</f>
        <v/>
      </c>
      <c r="U62" s="69"/>
      <c r="V62" s="67"/>
      <c r="W62" s="67"/>
      <c r="X62" s="72" t="str">
        <f>IF($A62="","",VLOOKUP(U62,'DB ESERCIZI'!$B$2:$K$83,9,FALSE))</f>
        <v/>
      </c>
      <c r="Y62" s="98" t="str">
        <f>IF($A62="","",HYPERLINK(VLOOKUP(U62,'DB ESERCIZI'!$B$2:$K$83,10,FALSE)))</f>
        <v/>
      </c>
    </row>
    <row r="63" spans="1:25" x14ac:dyDescent="0.25">
      <c r="A63" s="69"/>
      <c r="B63" s="67"/>
      <c r="C63" s="67"/>
      <c r="D63" s="68" t="str">
        <f>IF($A63="","",VLOOKUP(A63,'DB ESERCIZI'!$B$2:$K$83,9,FALSE))</f>
        <v/>
      </c>
      <c r="E63" s="99" t="str">
        <f>IF($A63="","",HYPERLINK(VLOOKUP(A63,'DB ESERCIZI'!$B$2:$K$83,10,FALSE)))</f>
        <v/>
      </c>
      <c r="F63" s="69"/>
      <c r="G63" s="67"/>
      <c r="H63" s="67"/>
      <c r="I63" s="68" t="str">
        <f>IF($A63="","",VLOOKUP(F63,'DB ESERCIZI'!$B$2:$K$83,9,FALSE))</f>
        <v/>
      </c>
      <c r="J63" s="99" t="str">
        <f>IF($A63="","",HYPERLINK(VLOOKUP(F63,'DB ESERCIZI'!$B$2:$K$83,10,FALSE)))</f>
        <v/>
      </c>
      <c r="K63" s="69"/>
      <c r="L63" s="67"/>
      <c r="M63" s="67"/>
      <c r="N63" s="68" t="str">
        <f>IF($A63="","",VLOOKUP(K63,'DB ESERCIZI'!$B$2:$K$83,9,FALSE))</f>
        <v/>
      </c>
      <c r="O63" s="99" t="str">
        <f>IF($A63="","",HYPERLINK(VLOOKUP(K63,'DB ESERCIZI'!$B$2:$K$83,10,FALSE)))</f>
        <v/>
      </c>
      <c r="P63" s="69"/>
      <c r="Q63" s="67"/>
      <c r="R63" s="67"/>
      <c r="S63" s="68" t="str">
        <f>IF($A63="","",VLOOKUP(P63,'DB ESERCIZI'!$B$2:$K$83,9,FALSE))</f>
        <v/>
      </c>
      <c r="T63" s="99" t="str">
        <f>IF($A63="","",HYPERLINK(VLOOKUP(P63,'DB ESERCIZI'!$B$2:$K$83,10,FALSE)))</f>
        <v/>
      </c>
      <c r="U63" s="69"/>
      <c r="V63" s="67"/>
      <c r="W63" s="67"/>
      <c r="X63" s="68" t="str">
        <f>IF($A63="","",VLOOKUP(U63,'DB ESERCIZI'!$B$2:$K$83,9,FALSE))</f>
        <v/>
      </c>
      <c r="Y63" s="99" t="str">
        <f>IF($A63="","",HYPERLINK(VLOOKUP(U63,'DB ESERCIZI'!$B$2:$K$83,10,FALSE)))</f>
        <v/>
      </c>
    </row>
    <row r="64" spans="1:25" x14ac:dyDescent="0.25">
      <c r="A64" s="69"/>
      <c r="B64" s="67"/>
      <c r="C64" s="67"/>
      <c r="D64" s="68" t="str">
        <f>IF($A64="","",VLOOKUP(A64,'DB ESERCIZI'!$B$2:$K$83,9,FALSE))</f>
        <v/>
      </c>
      <c r="E64" s="99" t="str">
        <f>IF($A64="","",HYPERLINK(VLOOKUP(A64,'DB ESERCIZI'!$B$2:$K$83,10,FALSE)))</f>
        <v/>
      </c>
      <c r="F64" s="69"/>
      <c r="G64" s="67"/>
      <c r="H64" s="67"/>
      <c r="I64" s="68" t="str">
        <f>IF($A64="","",VLOOKUP(F64,'DB ESERCIZI'!$B$2:$K$83,9,FALSE))</f>
        <v/>
      </c>
      <c r="J64" s="99" t="str">
        <f>IF($A64="","",HYPERLINK(VLOOKUP(F64,'DB ESERCIZI'!$B$2:$K$83,10,FALSE)))</f>
        <v/>
      </c>
      <c r="K64" s="69"/>
      <c r="L64" s="67"/>
      <c r="M64" s="67"/>
      <c r="N64" s="68" t="str">
        <f>IF($A64="","",VLOOKUP(K64,'DB ESERCIZI'!$B$2:$K$83,9,FALSE))</f>
        <v/>
      </c>
      <c r="O64" s="99" t="str">
        <f>IF($A64="","",HYPERLINK(VLOOKUP(K64,'DB ESERCIZI'!$B$2:$K$83,10,FALSE)))</f>
        <v/>
      </c>
      <c r="P64" s="69"/>
      <c r="Q64" s="67"/>
      <c r="R64" s="67"/>
      <c r="S64" s="68" t="str">
        <f>IF($A64="","",VLOOKUP(P64,'DB ESERCIZI'!$B$2:$K$83,9,FALSE))</f>
        <v/>
      </c>
      <c r="T64" s="99" t="str">
        <f>IF($A64="","",HYPERLINK(VLOOKUP(P64,'DB ESERCIZI'!$B$2:$K$83,10,FALSE)))</f>
        <v/>
      </c>
      <c r="U64" s="69"/>
      <c r="V64" s="67"/>
      <c r="W64" s="67"/>
      <c r="X64" s="68" t="str">
        <f>IF($A64="","",VLOOKUP(U64,'DB ESERCIZI'!$B$2:$K$83,9,FALSE))</f>
        <v/>
      </c>
      <c r="Y64" s="99" t="str">
        <f>IF($A64="","",HYPERLINK(VLOOKUP(U64,'DB ESERCIZI'!$B$2:$K$83,10,FALSE)))</f>
        <v/>
      </c>
    </row>
    <row r="65" spans="1:25" ht="15.75" thickBot="1" x14ac:dyDescent="0.3">
      <c r="A65" s="90"/>
      <c r="B65" s="91"/>
      <c r="C65" s="91"/>
      <c r="D65" s="92" t="str">
        <f>IF($A65="","",VLOOKUP(A65,'DB ESERCIZI'!$B$2:$K$83,9,FALSE))</f>
        <v/>
      </c>
      <c r="E65" s="100" t="str">
        <f>IF($A65="","",HYPERLINK(VLOOKUP(A65,'DB ESERCIZI'!$B$2:$K$83,10,FALSE)))</f>
        <v/>
      </c>
      <c r="F65" s="90"/>
      <c r="G65" s="91"/>
      <c r="H65" s="91"/>
      <c r="I65" s="92" t="str">
        <f>IF($A65="","",VLOOKUP(F65,'DB ESERCIZI'!$B$2:$K$83,9,FALSE))</f>
        <v/>
      </c>
      <c r="J65" s="100" t="str">
        <f>IF($A65="","",HYPERLINK(VLOOKUP(F65,'DB ESERCIZI'!$B$2:$K$83,10,FALSE)))</f>
        <v/>
      </c>
      <c r="K65" s="90"/>
      <c r="L65" s="91"/>
      <c r="M65" s="91"/>
      <c r="N65" s="92" t="str">
        <f>IF($A65="","",VLOOKUP(K65,'DB ESERCIZI'!$B$2:$K$83,9,FALSE))</f>
        <v/>
      </c>
      <c r="O65" s="100" t="str">
        <f>IF($A65="","",HYPERLINK(VLOOKUP(K65,'DB ESERCIZI'!$B$2:$K$83,10,FALSE)))</f>
        <v/>
      </c>
      <c r="P65" s="90"/>
      <c r="Q65" s="91"/>
      <c r="R65" s="91"/>
      <c r="S65" s="92" t="str">
        <f>IF($A65="","",VLOOKUP(P65,'DB ESERCIZI'!$B$2:$K$83,9,FALSE))</f>
        <v/>
      </c>
      <c r="T65" s="100" t="str">
        <f>IF($A65="","",HYPERLINK(VLOOKUP(P65,'DB ESERCIZI'!$B$2:$K$83,10,FALSE)))</f>
        <v/>
      </c>
      <c r="U65" s="90"/>
      <c r="V65" s="91"/>
      <c r="W65" s="91"/>
      <c r="X65" s="92" t="str">
        <f>IF($A65="","",VLOOKUP(U65,'DB ESERCIZI'!$B$2:$K$83,9,FALSE))</f>
        <v/>
      </c>
      <c r="Y65" s="100" t="str">
        <f>IF($A65="","",HYPERLINK(VLOOKUP(U65,'DB ESERCIZI'!$B$2:$K$83,10,FALSE)))</f>
        <v/>
      </c>
    </row>
  </sheetData>
  <pageMargins left="0.7" right="0.7" top="0.75" bottom="0.75" header="0.3" footer="0.3"/>
  <pageSetup paperSize="9" orientation="landscape" r:id="rId1"/>
  <headerFooter>
    <oddHeader xml:space="preserve">&amp;C
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59241-EC9C-40B7-83E4-F09EE0F69870}">
          <x14:formula1>
            <xm:f>'DB ESERCIZI'!$B$2:$B$500</xm:f>
          </x14:formula1>
          <xm:sqref>A9:A65 F9:F65 K9:K65 P9:P65 A4:A7 F4:F7 K4:K7 P4:P7 U9:U65 U4:U7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576A-3170-4E9E-8C8B-C086872CECE7}">
  <dimension ref="A1:AA1004"/>
  <sheetViews>
    <sheetView workbookViewId="0">
      <selection activeCell="B11" sqref="B11"/>
    </sheetView>
  </sheetViews>
  <sheetFormatPr defaultColWidth="14.42578125" defaultRowHeight="15" x14ac:dyDescent="0.25"/>
  <cols>
    <col min="1" max="1" width="4.42578125" customWidth="1"/>
    <col min="2" max="2" width="28.5703125" customWidth="1"/>
    <col min="3" max="3" width="2.42578125" customWidth="1"/>
    <col min="4" max="4" width="16.85546875" bestFit="1" customWidth="1"/>
    <col min="5" max="5" width="16.85546875" customWidth="1"/>
    <col min="6" max="6" width="2.42578125" customWidth="1"/>
    <col min="7" max="7" width="13.140625" customWidth="1"/>
    <col min="8" max="8" width="15.85546875" customWidth="1"/>
    <col min="9" max="9" width="17.5703125" customWidth="1"/>
    <col min="10" max="10" width="13.5703125" customWidth="1"/>
    <col min="11" max="11" width="2.42578125" customWidth="1"/>
    <col min="12" max="12" width="77.42578125" customWidth="1"/>
    <col min="13" max="27" width="11.42578125" customWidth="1"/>
  </cols>
  <sheetData>
    <row r="1" spans="1:27" ht="21" x14ac:dyDescent="0.35">
      <c r="A1" s="14"/>
      <c r="B1" s="15" t="s">
        <v>160</v>
      </c>
      <c r="C1" s="16"/>
      <c r="D1" s="127" t="s">
        <v>161</v>
      </c>
      <c r="E1" s="128"/>
      <c r="F1" s="17"/>
      <c r="G1" s="124" t="s">
        <v>162</v>
      </c>
      <c r="H1" s="125"/>
      <c r="I1" s="125"/>
      <c r="J1" s="126"/>
      <c r="K1" s="17"/>
      <c r="L1" s="15" t="s">
        <v>163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21" x14ac:dyDescent="0.35">
      <c r="A2" s="14"/>
      <c r="B2" s="18" t="s">
        <v>164</v>
      </c>
      <c r="C2" s="17"/>
      <c r="D2" s="19" t="s">
        <v>272</v>
      </c>
      <c r="E2" s="19" t="s">
        <v>162</v>
      </c>
      <c r="F2" s="17"/>
      <c r="G2" s="20" t="s">
        <v>165</v>
      </c>
      <c r="H2" s="21" t="s">
        <v>166</v>
      </c>
      <c r="I2" s="22" t="s">
        <v>167</v>
      </c>
      <c r="J2" s="23" t="s">
        <v>168</v>
      </c>
      <c r="K2" s="17"/>
      <c r="L2" s="24" t="s">
        <v>169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x14ac:dyDescent="0.25">
      <c r="B3" s="25" t="s">
        <v>170</v>
      </c>
      <c r="C3" s="26"/>
      <c r="D3" s="27">
        <v>225</v>
      </c>
      <c r="E3" s="27">
        <f>(360-D3)/1.8</f>
        <v>75</v>
      </c>
      <c r="F3" s="26"/>
      <c r="G3" s="28" t="s">
        <v>273</v>
      </c>
      <c r="H3" s="29" t="s">
        <v>274</v>
      </c>
      <c r="I3" s="30" t="s">
        <v>275</v>
      </c>
      <c r="J3" s="31" t="s">
        <v>276</v>
      </c>
      <c r="K3" s="26"/>
      <c r="L3" s="32"/>
    </row>
    <row r="4" spans="1:27" x14ac:dyDescent="0.25">
      <c r="B4" s="25" t="s">
        <v>171</v>
      </c>
      <c r="C4" s="26"/>
      <c r="D4" s="27">
        <v>720</v>
      </c>
      <c r="E4" s="27">
        <f>(300-D4/3)/0.8</f>
        <v>75</v>
      </c>
      <c r="F4" s="26"/>
      <c r="G4" s="28" t="s">
        <v>172</v>
      </c>
      <c r="H4" s="29" t="s">
        <v>173</v>
      </c>
      <c r="I4" s="30" t="s">
        <v>174</v>
      </c>
      <c r="J4" s="31" t="s">
        <v>175</v>
      </c>
      <c r="K4" s="26"/>
      <c r="L4" s="32"/>
    </row>
    <row r="5" spans="1:27" x14ac:dyDescent="0.25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27" ht="15.75" customHeight="1" x14ac:dyDescent="0.35">
      <c r="B6" s="18" t="s">
        <v>225</v>
      </c>
      <c r="C6" s="17"/>
      <c r="D6" s="19" t="s">
        <v>190</v>
      </c>
      <c r="E6" s="19" t="s">
        <v>162</v>
      </c>
      <c r="F6" s="17"/>
      <c r="G6" s="20" t="s">
        <v>165</v>
      </c>
      <c r="H6" s="21" t="s">
        <v>166</v>
      </c>
      <c r="I6" s="22" t="s">
        <v>167</v>
      </c>
      <c r="J6" s="23" t="s">
        <v>168</v>
      </c>
      <c r="K6" s="26"/>
      <c r="L6" s="24" t="s">
        <v>169</v>
      </c>
    </row>
    <row r="7" spans="1:27" ht="15.75" customHeight="1" x14ac:dyDescent="0.25">
      <c r="B7" s="25" t="s">
        <v>226</v>
      </c>
      <c r="C7" s="26"/>
      <c r="D7" s="27">
        <v>14</v>
      </c>
      <c r="E7" s="27">
        <f>(D7-4)*10</f>
        <v>100</v>
      </c>
      <c r="F7" s="26"/>
      <c r="G7" s="28" t="s">
        <v>196</v>
      </c>
      <c r="H7" s="29" t="s">
        <v>227</v>
      </c>
      <c r="I7" s="30" t="s">
        <v>228</v>
      </c>
      <c r="J7" s="31" t="s">
        <v>229</v>
      </c>
      <c r="K7" s="26"/>
      <c r="L7" s="32" t="s">
        <v>230</v>
      </c>
    </row>
    <row r="8" spans="1:27" ht="15.75" customHeight="1" x14ac:dyDescent="0.25">
      <c r="B8" s="25" t="s">
        <v>231</v>
      </c>
      <c r="C8" s="26"/>
      <c r="D8" s="27">
        <v>11</v>
      </c>
      <c r="E8" s="27">
        <f>(D8-2)*10</f>
        <v>90</v>
      </c>
      <c r="F8" s="26"/>
      <c r="G8" s="28" t="s">
        <v>227</v>
      </c>
      <c r="H8" s="29">
        <v>9</v>
      </c>
      <c r="I8" s="30" t="s">
        <v>228</v>
      </c>
      <c r="J8" s="31" t="s">
        <v>229</v>
      </c>
      <c r="K8" s="26"/>
      <c r="L8" s="32"/>
    </row>
    <row r="9" spans="1:27" ht="15.75" customHeight="1" x14ac:dyDescent="0.25">
      <c r="B9" s="25" t="s">
        <v>232</v>
      </c>
      <c r="C9" s="26"/>
      <c r="D9" s="27">
        <v>8</v>
      </c>
      <c r="E9" s="27">
        <f>(D9-1)*10</f>
        <v>70</v>
      </c>
      <c r="F9" s="26"/>
      <c r="G9" s="28" t="s">
        <v>233</v>
      </c>
      <c r="H9" s="29">
        <v>8</v>
      </c>
      <c r="I9" s="30" t="s">
        <v>234</v>
      </c>
      <c r="J9" s="31" t="s">
        <v>235</v>
      </c>
      <c r="K9" s="26"/>
      <c r="L9" s="32"/>
    </row>
    <row r="10" spans="1:27" ht="15.75" customHeight="1" x14ac:dyDescent="0.25">
      <c r="B10" s="25" t="s">
        <v>236</v>
      </c>
      <c r="C10" s="26"/>
      <c r="D10" s="27">
        <v>7</v>
      </c>
      <c r="E10" s="27">
        <f>(D10-1)*10</f>
        <v>60</v>
      </c>
      <c r="F10" s="26"/>
      <c r="G10" s="28" t="s">
        <v>233</v>
      </c>
      <c r="H10" s="29">
        <v>8</v>
      </c>
      <c r="I10" s="30" t="s">
        <v>234</v>
      </c>
      <c r="J10" s="31" t="s">
        <v>235</v>
      </c>
      <c r="K10" s="26"/>
      <c r="L10" s="32"/>
    </row>
    <row r="11" spans="1:27" ht="15.75" customHeight="1" x14ac:dyDescent="0.25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</row>
    <row r="12" spans="1:27" ht="21" x14ac:dyDescent="0.35">
      <c r="B12" s="18" t="s">
        <v>176</v>
      </c>
      <c r="C12" s="17"/>
      <c r="D12" s="19" t="s">
        <v>272</v>
      </c>
      <c r="E12" s="19" t="s">
        <v>162</v>
      </c>
      <c r="F12" s="17"/>
      <c r="G12" s="20" t="s">
        <v>165</v>
      </c>
      <c r="H12" s="21" t="s">
        <v>166</v>
      </c>
      <c r="I12" s="22" t="s">
        <v>167</v>
      </c>
      <c r="J12" s="23" t="s">
        <v>168</v>
      </c>
      <c r="K12" s="26"/>
      <c r="L12" s="24" t="s">
        <v>169</v>
      </c>
    </row>
    <row r="13" spans="1:27" x14ac:dyDescent="0.25">
      <c r="B13" s="25" t="s">
        <v>177</v>
      </c>
      <c r="C13" s="26"/>
      <c r="D13" s="27">
        <v>187</v>
      </c>
      <c r="E13" s="27">
        <f>(D13)/1.8</f>
        <v>103.88888888888889</v>
      </c>
      <c r="F13" s="26"/>
      <c r="G13" s="28" t="s">
        <v>178</v>
      </c>
      <c r="H13" s="29" t="s">
        <v>179</v>
      </c>
      <c r="I13" s="30" t="s">
        <v>180</v>
      </c>
      <c r="J13" s="31" t="s">
        <v>181</v>
      </c>
      <c r="K13" s="26"/>
      <c r="L13" s="32"/>
    </row>
    <row r="14" spans="1:27" x14ac:dyDescent="0.25">
      <c r="B14" s="25" t="s">
        <v>182</v>
      </c>
      <c r="C14" s="26"/>
      <c r="D14" s="27">
        <v>65</v>
      </c>
      <c r="E14" s="27">
        <f>(D14)*1.2</f>
        <v>78</v>
      </c>
      <c r="F14" s="26"/>
      <c r="G14" s="28" t="s">
        <v>180</v>
      </c>
      <c r="H14" s="29" t="s">
        <v>183</v>
      </c>
      <c r="I14" s="30" t="s">
        <v>184</v>
      </c>
      <c r="J14" s="31" t="s">
        <v>185</v>
      </c>
      <c r="K14" s="26"/>
      <c r="L14" s="32"/>
    </row>
    <row r="15" spans="1:27" x14ac:dyDescent="0.25">
      <c r="B15" s="25" t="s">
        <v>186</v>
      </c>
      <c r="C15" s="26"/>
      <c r="D15" s="27">
        <v>68</v>
      </c>
      <c r="E15" s="27">
        <f>(D15)*1.2</f>
        <v>81.599999999999994</v>
      </c>
      <c r="F15" s="26"/>
      <c r="G15" s="28" t="s">
        <v>180</v>
      </c>
      <c r="H15" s="29" t="s">
        <v>183</v>
      </c>
      <c r="I15" s="30" t="s">
        <v>184</v>
      </c>
      <c r="J15" s="31" t="s">
        <v>185</v>
      </c>
      <c r="K15" s="26"/>
      <c r="L15" s="32"/>
    </row>
    <row r="16" spans="1:27" ht="45" x14ac:dyDescent="0.25">
      <c r="B16" s="25" t="s">
        <v>187</v>
      </c>
      <c r="C16" s="26"/>
      <c r="D16" s="27">
        <v>150</v>
      </c>
      <c r="E16" s="27">
        <f>(D16)/1.8</f>
        <v>83.333333333333329</v>
      </c>
      <c r="F16" s="26"/>
      <c r="G16" s="28" t="s">
        <v>178</v>
      </c>
      <c r="H16" s="29" t="s">
        <v>179</v>
      </c>
      <c r="I16" s="30" t="s">
        <v>180</v>
      </c>
      <c r="J16" s="31" t="s">
        <v>181</v>
      </c>
      <c r="K16" s="26"/>
      <c r="L16" s="40" t="s">
        <v>303</v>
      </c>
    </row>
    <row r="17" spans="2:12" x14ac:dyDescent="0.25">
      <c r="B17" s="25" t="s">
        <v>188</v>
      </c>
      <c r="C17" s="26"/>
      <c r="D17" s="27">
        <v>140</v>
      </c>
      <c r="E17" s="27">
        <f>(D17)/1.8</f>
        <v>77.777777777777771</v>
      </c>
      <c r="F17" s="26"/>
      <c r="G17" s="28" t="s">
        <v>178</v>
      </c>
      <c r="H17" s="29" t="s">
        <v>179</v>
      </c>
      <c r="I17" s="30" t="s">
        <v>180</v>
      </c>
      <c r="J17" s="31" t="s">
        <v>181</v>
      </c>
      <c r="K17" s="26"/>
      <c r="L17" s="32"/>
    </row>
    <row r="18" spans="2:12" x14ac:dyDescent="0.25"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2:12" ht="21" x14ac:dyDescent="0.35">
      <c r="B19" s="18" t="s">
        <v>189</v>
      </c>
      <c r="C19" s="17"/>
      <c r="D19" s="19" t="s">
        <v>190</v>
      </c>
      <c r="E19" s="19" t="s">
        <v>162</v>
      </c>
      <c r="F19" s="17"/>
      <c r="G19" s="20" t="s">
        <v>165</v>
      </c>
      <c r="H19" s="21" t="s">
        <v>166</v>
      </c>
      <c r="I19" s="22" t="s">
        <v>167</v>
      </c>
      <c r="J19" s="23" t="s">
        <v>168</v>
      </c>
      <c r="K19" s="26"/>
      <c r="L19" s="24" t="s">
        <v>169</v>
      </c>
    </row>
    <row r="20" spans="2:12" x14ac:dyDescent="0.25">
      <c r="B20" s="25" t="s">
        <v>191</v>
      </c>
      <c r="C20" s="26"/>
      <c r="D20" s="27">
        <v>48</v>
      </c>
      <c r="E20" s="27">
        <f>(D20)/0.5</f>
        <v>96</v>
      </c>
      <c r="F20" s="26"/>
      <c r="G20" s="28" t="s">
        <v>301</v>
      </c>
      <c r="H20" s="29" t="s">
        <v>257</v>
      </c>
      <c r="I20" s="30" t="s">
        <v>193</v>
      </c>
      <c r="J20" s="31" t="s">
        <v>194</v>
      </c>
      <c r="K20" s="26"/>
      <c r="L20" s="32" t="s">
        <v>300</v>
      </c>
    </row>
    <row r="21" spans="2:12" x14ac:dyDescent="0.25">
      <c r="B21" s="25" t="s">
        <v>195</v>
      </c>
      <c r="C21" s="26"/>
      <c r="D21" s="27">
        <v>12</v>
      </c>
      <c r="E21" s="27">
        <f>(D21)/0.16</f>
        <v>75</v>
      </c>
      <c r="F21" s="26"/>
      <c r="G21" s="28" t="s">
        <v>196</v>
      </c>
      <c r="H21" s="29" t="s">
        <v>197</v>
      </c>
      <c r="I21" s="30" t="s">
        <v>198</v>
      </c>
      <c r="J21" s="31" t="s">
        <v>199</v>
      </c>
      <c r="K21" s="26"/>
      <c r="L21" s="32"/>
    </row>
    <row r="22" spans="2:12" x14ac:dyDescent="0.25">
      <c r="B22" s="25" t="s">
        <v>200</v>
      </c>
      <c r="C22" s="26"/>
      <c r="D22" s="27">
        <v>200</v>
      </c>
      <c r="E22" s="27">
        <f>(D22)/2.4</f>
        <v>83.333333333333343</v>
      </c>
      <c r="F22" s="26"/>
      <c r="G22" s="28" t="s">
        <v>179</v>
      </c>
      <c r="H22" s="29" t="s">
        <v>183</v>
      </c>
      <c r="I22" s="30" t="s">
        <v>184</v>
      </c>
      <c r="J22" s="31" t="s">
        <v>201</v>
      </c>
      <c r="K22" s="26"/>
      <c r="L22" s="32"/>
    </row>
    <row r="23" spans="2:12" x14ac:dyDescent="0.25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2:12" ht="21" x14ac:dyDescent="0.35">
      <c r="B24" s="18" t="s">
        <v>202</v>
      </c>
      <c r="C24" s="17"/>
      <c r="D24" s="19" t="s">
        <v>272</v>
      </c>
      <c r="E24" s="19" t="s">
        <v>162</v>
      </c>
      <c r="F24" s="17"/>
      <c r="G24" s="20" t="s">
        <v>165</v>
      </c>
      <c r="H24" s="21" t="s">
        <v>166</v>
      </c>
      <c r="I24" s="22" t="s">
        <v>167</v>
      </c>
      <c r="J24" s="23" t="s">
        <v>168</v>
      </c>
      <c r="K24" s="26"/>
      <c r="L24" s="24" t="s">
        <v>169</v>
      </c>
    </row>
    <row r="25" spans="2:12" x14ac:dyDescent="0.25">
      <c r="B25" s="25" t="s">
        <v>203</v>
      </c>
      <c r="C25" s="26"/>
      <c r="D25" s="27">
        <v>7.5</v>
      </c>
      <c r="E25" s="27">
        <f>(24-D25*2.2)*10</f>
        <v>75</v>
      </c>
      <c r="F25" s="26"/>
      <c r="G25" s="28" t="s">
        <v>204</v>
      </c>
      <c r="H25" s="29" t="s">
        <v>205</v>
      </c>
      <c r="I25" s="30" t="s">
        <v>206</v>
      </c>
      <c r="J25" s="31" t="s">
        <v>207</v>
      </c>
      <c r="K25" s="26"/>
      <c r="L25" s="32"/>
    </row>
    <row r="26" spans="2:12" x14ac:dyDescent="0.25">
      <c r="B26" s="25" t="s">
        <v>208</v>
      </c>
      <c r="C26" s="26"/>
      <c r="D26" s="27">
        <v>10</v>
      </c>
      <c r="E26" s="27">
        <f>(320-D26*20)/1.4</f>
        <v>85.714285714285722</v>
      </c>
      <c r="F26" s="26"/>
      <c r="G26" s="28" t="s">
        <v>209</v>
      </c>
      <c r="H26" s="29" t="s">
        <v>210</v>
      </c>
      <c r="I26" s="30" t="s">
        <v>211</v>
      </c>
      <c r="J26" s="31" t="s">
        <v>212</v>
      </c>
      <c r="K26" s="26"/>
      <c r="L26" s="32"/>
    </row>
    <row r="27" spans="2:12" ht="15.75" customHeight="1" x14ac:dyDescent="0.25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 spans="2:12" ht="15.75" customHeight="1" x14ac:dyDescent="0.35">
      <c r="B28" s="18" t="s">
        <v>213</v>
      </c>
      <c r="C28" s="17"/>
      <c r="D28" s="19" t="s">
        <v>302</v>
      </c>
      <c r="E28" s="19" t="s">
        <v>162</v>
      </c>
      <c r="F28" s="17"/>
      <c r="G28" s="20" t="s">
        <v>165</v>
      </c>
      <c r="H28" s="21" t="s">
        <v>166</v>
      </c>
      <c r="I28" s="22" t="s">
        <v>167</v>
      </c>
      <c r="J28" s="23" t="s">
        <v>168</v>
      </c>
      <c r="K28" s="26"/>
      <c r="L28" s="24" t="s">
        <v>169</v>
      </c>
    </row>
    <row r="29" spans="2:12" ht="15.75" customHeight="1" x14ac:dyDescent="0.25">
      <c r="B29" s="25" t="s">
        <v>214</v>
      </c>
      <c r="C29" s="26"/>
      <c r="D29" s="27">
        <v>260</v>
      </c>
      <c r="E29" s="27">
        <f>(D29)/2.9</f>
        <v>89.65517241379311</v>
      </c>
      <c r="F29" s="26"/>
      <c r="G29" s="28" t="s">
        <v>215</v>
      </c>
      <c r="H29" s="29" t="s">
        <v>216</v>
      </c>
      <c r="I29" s="30" t="s">
        <v>217</v>
      </c>
      <c r="J29" s="31" t="s">
        <v>218</v>
      </c>
      <c r="K29" s="26"/>
      <c r="L29" s="32"/>
    </row>
    <row r="30" spans="2:12" ht="15.75" customHeight="1" x14ac:dyDescent="0.25">
      <c r="B30" s="25" t="s">
        <v>219</v>
      </c>
      <c r="C30" s="26"/>
      <c r="D30" s="27">
        <v>240</v>
      </c>
      <c r="E30" s="27">
        <f>(D30)/2.8</f>
        <v>85.714285714285722</v>
      </c>
      <c r="F30" s="26"/>
      <c r="G30" s="28" t="s">
        <v>220</v>
      </c>
      <c r="H30" s="29" t="s">
        <v>221</v>
      </c>
      <c r="I30" s="30" t="s">
        <v>222</v>
      </c>
      <c r="J30" s="31" t="s">
        <v>223</v>
      </c>
      <c r="K30" s="26"/>
      <c r="L30" s="32"/>
    </row>
    <row r="31" spans="2:12" ht="15.75" customHeight="1" x14ac:dyDescent="0.25">
      <c r="B31" s="25" t="s">
        <v>224</v>
      </c>
      <c r="C31" s="26"/>
      <c r="D31" s="27">
        <v>230</v>
      </c>
      <c r="E31" s="27">
        <f>(D31)/2.8</f>
        <v>82.142857142857153</v>
      </c>
      <c r="F31" s="26"/>
      <c r="G31" s="28" t="s">
        <v>220</v>
      </c>
      <c r="H31" s="29" t="s">
        <v>221</v>
      </c>
      <c r="I31" s="30" t="s">
        <v>222</v>
      </c>
      <c r="J31" s="31" t="s">
        <v>223</v>
      </c>
      <c r="K31" s="26"/>
      <c r="L31" s="32"/>
    </row>
    <row r="32" spans="2:12" ht="15.75" customHeight="1" x14ac:dyDescent="0.25"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 spans="2:12" ht="15.75" customHeight="1" x14ac:dyDescent="0.35">
      <c r="B33" s="18" t="s">
        <v>237</v>
      </c>
      <c r="C33" s="17"/>
      <c r="D33" s="19" t="s">
        <v>238</v>
      </c>
      <c r="E33" s="19" t="s">
        <v>162</v>
      </c>
      <c r="F33" s="17"/>
      <c r="G33" s="20" t="s">
        <v>165</v>
      </c>
      <c r="H33" s="21" t="s">
        <v>166</v>
      </c>
      <c r="I33" s="22" t="s">
        <v>167</v>
      </c>
      <c r="J33" s="23" t="s">
        <v>168</v>
      </c>
      <c r="K33" s="26"/>
      <c r="L33" s="24" t="s">
        <v>169</v>
      </c>
    </row>
    <row r="34" spans="2:12" ht="45" x14ac:dyDescent="0.25">
      <c r="B34" s="33" t="s">
        <v>239</v>
      </c>
      <c r="C34" s="34"/>
      <c r="D34" s="63" t="s">
        <v>240</v>
      </c>
      <c r="E34" s="35">
        <f>IF(D34=G34,100,IF(D34=H34,75,IF(D34=I34,50,30)))</f>
        <v>100</v>
      </c>
      <c r="F34" s="34"/>
      <c r="G34" s="36" t="s">
        <v>240</v>
      </c>
      <c r="H34" s="37" t="s">
        <v>241</v>
      </c>
      <c r="I34" s="38" t="s">
        <v>242</v>
      </c>
      <c r="J34" s="39" t="s">
        <v>243</v>
      </c>
      <c r="K34" s="26"/>
      <c r="L34" s="40" t="s">
        <v>244</v>
      </c>
    </row>
    <row r="35" spans="2:12" ht="75" x14ac:dyDescent="0.25">
      <c r="B35" s="33" t="s">
        <v>245</v>
      </c>
      <c r="C35" s="34"/>
      <c r="D35" s="63" t="s">
        <v>241</v>
      </c>
      <c r="E35" s="35">
        <f>IF(D35=G35,100,IF(D35=H35,75,IF(D35=I35,50,30)))</f>
        <v>75</v>
      </c>
      <c r="F35" s="34"/>
      <c r="G35" s="36" t="s">
        <v>240</v>
      </c>
      <c r="H35" s="37" t="s">
        <v>241</v>
      </c>
      <c r="I35" s="38" t="s">
        <v>242</v>
      </c>
      <c r="J35" s="39" t="s">
        <v>243</v>
      </c>
      <c r="K35" s="26"/>
      <c r="L35" s="40" t="s">
        <v>246</v>
      </c>
    </row>
    <row r="36" spans="2:12" ht="75" x14ac:dyDescent="0.25">
      <c r="B36" s="33" t="s">
        <v>247</v>
      </c>
      <c r="C36" s="34"/>
      <c r="D36" s="63" t="s">
        <v>240</v>
      </c>
      <c r="E36" s="35">
        <f>IF(D36=G36,100,IF(D36=H36,75,IF(D36=I36,50,30)))</f>
        <v>100</v>
      </c>
      <c r="F36" s="34"/>
      <c r="G36" s="36" t="s">
        <v>240</v>
      </c>
      <c r="H36" s="37" t="s">
        <v>241</v>
      </c>
      <c r="I36" s="38" t="s">
        <v>242</v>
      </c>
      <c r="J36" s="39" t="s">
        <v>243</v>
      </c>
      <c r="K36" s="26"/>
      <c r="L36" s="40" t="s">
        <v>246</v>
      </c>
    </row>
    <row r="37" spans="2:12" ht="15.75" customHeight="1" x14ac:dyDescent="0.25"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spans="2:12" ht="15.75" customHeight="1" x14ac:dyDescent="0.35">
      <c r="B38" s="18" t="s">
        <v>159</v>
      </c>
      <c r="C38" s="17"/>
      <c r="D38" s="19" t="s">
        <v>248</v>
      </c>
      <c r="E38" s="19" t="s">
        <v>162</v>
      </c>
      <c r="F38" s="17"/>
      <c r="G38" s="20" t="s">
        <v>165</v>
      </c>
      <c r="H38" s="21" t="s">
        <v>166</v>
      </c>
      <c r="I38" s="22" t="s">
        <v>167</v>
      </c>
      <c r="J38" s="23" t="s">
        <v>168</v>
      </c>
      <c r="K38" s="26"/>
      <c r="L38" s="24" t="s">
        <v>169</v>
      </c>
    </row>
    <row r="39" spans="2:12" ht="15.75" customHeight="1" x14ac:dyDescent="0.25">
      <c r="B39" s="25" t="s">
        <v>249</v>
      </c>
      <c r="C39" s="26"/>
      <c r="D39" s="27">
        <v>160</v>
      </c>
      <c r="E39" s="27">
        <f>(D39)/1.8</f>
        <v>88.888888888888886</v>
      </c>
      <c r="F39" s="26"/>
      <c r="G39" s="28" t="s">
        <v>250</v>
      </c>
      <c r="H39" s="29" t="s">
        <v>251</v>
      </c>
      <c r="I39" s="30" t="s">
        <v>192</v>
      </c>
      <c r="J39" s="31" t="s">
        <v>252</v>
      </c>
      <c r="K39" s="26"/>
      <c r="L39" s="32" t="s">
        <v>253</v>
      </c>
    </row>
    <row r="40" spans="2:12" ht="15.75" customHeight="1" x14ac:dyDescent="0.25">
      <c r="B40" s="25" t="s">
        <v>254</v>
      </c>
      <c r="C40" s="26"/>
      <c r="D40" s="27">
        <v>140</v>
      </c>
      <c r="E40" s="27">
        <f>(D40)/1.5</f>
        <v>93.333333333333329</v>
      </c>
      <c r="F40" s="26"/>
      <c r="G40" s="28" t="s">
        <v>255</v>
      </c>
      <c r="H40" s="29" t="s">
        <v>256</v>
      </c>
      <c r="I40" s="30" t="s">
        <v>257</v>
      </c>
      <c r="J40" s="31" t="s">
        <v>258</v>
      </c>
      <c r="K40" s="26"/>
      <c r="L40" s="32" t="s">
        <v>253</v>
      </c>
    </row>
    <row r="41" spans="2:12" ht="15.75" customHeight="1" x14ac:dyDescent="0.25">
      <c r="B41" s="25" t="s">
        <v>259</v>
      </c>
      <c r="C41" s="26"/>
      <c r="D41" s="27">
        <v>85</v>
      </c>
      <c r="E41" s="27">
        <f>(D41)/1</f>
        <v>85</v>
      </c>
      <c r="F41" s="26"/>
      <c r="G41" s="28" t="s">
        <v>251</v>
      </c>
      <c r="H41" s="29" t="s">
        <v>192</v>
      </c>
      <c r="I41" s="30" t="s">
        <v>260</v>
      </c>
      <c r="J41" s="31" t="s">
        <v>261</v>
      </c>
      <c r="K41" s="26"/>
      <c r="L41" s="32" t="s">
        <v>253</v>
      </c>
    </row>
    <row r="42" spans="2:12" ht="15.75" customHeight="1" x14ac:dyDescent="0.25">
      <c r="B42" s="25" t="s">
        <v>262</v>
      </c>
      <c r="C42" s="26"/>
      <c r="D42" s="27">
        <v>9</v>
      </c>
      <c r="E42" s="27">
        <f>D42*10</f>
        <v>90</v>
      </c>
      <c r="F42" s="26"/>
      <c r="G42" s="28" t="s">
        <v>227</v>
      </c>
      <c r="H42" s="29" t="s">
        <v>263</v>
      </c>
      <c r="I42" s="30" t="s">
        <v>264</v>
      </c>
      <c r="J42" s="31" t="s">
        <v>199</v>
      </c>
      <c r="K42" s="26"/>
      <c r="L42" s="32" t="s">
        <v>265</v>
      </c>
    </row>
    <row r="43" spans="2:12" ht="30" x14ac:dyDescent="0.25">
      <c r="B43" s="41" t="s">
        <v>266</v>
      </c>
      <c r="C43" s="26"/>
      <c r="D43" s="27">
        <v>4</v>
      </c>
      <c r="E43" s="27">
        <f>D43*22</f>
        <v>88</v>
      </c>
      <c r="F43" s="26"/>
      <c r="G43" s="28" t="s">
        <v>198</v>
      </c>
      <c r="H43" s="29">
        <v>3</v>
      </c>
      <c r="I43" s="30">
        <v>2</v>
      </c>
      <c r="J43" s="31" t="s">
        <v>267</v>
      </c>
      <c r="K43" s="26"/>
      <c r="L43" s="32" t="s">
        <v>268</v>
      </c>
    </row>
    <row r="44" spans="2:12" ht="30" x14ac:dyDescent="0.25">
      <c r="B44" s="41" t="s">
        <v>269</v>
      </c>
      <c r="C44" s="26"/>
      <c r="D44" s="27">
        <v>4</v>
      </c>
      <c r="E44" s="27">
        <f>D44*22</f>
        <v>88</v>
      </c>
      <c r="F44" s="26"/>
      <c r="G44" s="28" t="s">
        <v>198</v>
      </c>
      <c r="H44" s="29">
        <v>3</v>
      </c>
      <c r="I44" s="30">
        <v>2</v>
      </c>
      <c r="J44" s="31" t="s">
        <v>267</v>
      </c>
      <c r="K44" s="26"/>
      <c r="L44" s="32" t="s">
        <v>268</v>
      </c>
    </row>
    <row r="45" spans="2:12" ht="30" x14ac:dyDescent="0.25">
      <c r="B45" s="41" t="s">
        <v>270</v>
      </c>
      <c r="C45" s="26"/>
      <c r="D45" s="27">
        <v>3</v>
      </c>
      <c r="E45" s="27">
        <f>D45*22</f>
        <v>66</v>
      </c>
      <c r="F45" s="26"/>
      <c r="G45" s="28" t="s">
        <v>198</v>
      </c>
      <c r="H45" s="29">
        <v>3</v>
      </c>
      <c r="I45" s="30">
        <v>2</v>
      </c>
      <c r="J45" s="31" t="s">
        <v>267</v>
      </c>
      <c r="K45" s="26"/>
      <c r="L45" s="32" t="s">
        <v>268</v>
      </c>
    </row>
    <row r="46" spans="2:12" ht="30" x14ac:dyDescent="0.25">
      <c r="B46" s="41" t="s">
        <v>271</v>
      </c>
      <c r="C46" s="26"/>
      <c r="D46" s="27">
        <v>3</v>
      </c>
      <c r="E46" s="27">
        <f>D46*22</f>
        <v>66</v>
      </c>
      <c r="F46" s="26"/>
      <c r="G46" s="28" t="s">
        <v>198</v>
      </c>
      <c r="H46" s="29">
        <v>3</v>
      </c>
      <c r="I46" s="30">
        <v>2</v>
      </c>
      <c r="J46" s="31" t="s">
        <v>267</v>
      </c>
      <c r="K46" s="26"/>
      <c r="L46" s="32" t="s">
        <v>268</v>
      </c>
    </row>
    <row r="47" spans="2:12" ht="15.75" customHeight="1" x14ac:dyDescent="0.25"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</row>
    <row r="48" spans="2:12" ht="15.75" customHeight="1" x14ac:dyDescent="0.25"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</row>
    <row r="49" spans="2:12" ht="15.75" customHeight="1" x14ac:dyDescent="0.25"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</row>
    <row r="50" spans="2:12" ht="15.75" customHeight="1" x14ac:dyDescent="0.25"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</row>
    <row r="51" spans="2:12" ht="15.75" customHeight="1" x14ac:dyDescent="0.25"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</row>
    <row r="52" spans="2:12" ht="15.75" customHeight="1" x14ac:dyDescent="0.25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</row>
    <row r="53" spans="2:12" ht="15.75" customHeight="1" x14ac:dyDescent="0.25"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</row>
    <row r="54" spans="2:12" ht="15.75" customHeight="1" x14ac:dyDescent="0.25"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</row>
    <row r="55" spans="2:12" ht="15.75" customHeight="1" x14ac:dyDescent="0.25"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</row>
    <row r="56" spans="2:12" ht="15.75" customHeight="1" x14ac:dyDescent="0.25"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2:12" ht="15.75" customHeight="1" x14ac:dyDescent="0.25"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</row>
    <row r="58" spans="2:12" ht="15.75" customHeight="1" x14ac:dyDescent="0.25"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</row>
    <row r="59" spans="2:12" ht="15.75" customHeight="1" x14ac:dyDescent="0.25"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2:12" ht="15.75" customHeight="1" x14ac:dyDescent="0.25"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</row>
    <row r="61" spans="2:12" ht="15.75" customHeight="1" x14ac:dyDescent="0.25"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2:12" ht="15.75" customHeight="1" x14ac:dyDescent="0.25"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</row>
    <row r="63" spans="2:12" ht="15.75" customHeight="1" x14ac:dyDescent="0.25"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</row>
    <row r="64" spans="2:12" ht="15.75" customHeight="1" x14ac:dyDescent="0.25"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</row>
    <row r="65" spans="2:12" ht="15.75" customHeight="1" x14ac:dyDescent="0.25"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</row>
    <row r="66" spans="2:12" ht="15.75" customHeight="1" x14ac:dyDescent="0.25"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</row>
    <row r="67" spans="2:12" ht="15.75" customHeight="1" x14ac:dyDescent="0.25"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2:12" ht="15.75" customHeight="1" x14ac:dyDescent="0.25"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</row>
    <row r="69" spans="2:12" ht="15.75" customHeight="1" x14ac:dyDescent="0.25"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</row>
    <row r="70" spans="2:12" ht="15.75" customHeight="1" x14ac:dyDescent="0.25"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</row>
    <row r="71" spans="2:12" ht="15.75" customHeight="1" x14ac:dyDescent="0.25"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</row>
    <row r="72" spans="2:12" ht="15.75" customHeight="1" x14ac:dyDescent="0.25"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</row>
    <row r="73" spans="2:12" ht="15.75" customHeight="1" x14ac:dyDescent="0.25"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</row>
    <row r="74" spans="2:12" ht="15.75" customHeight="1" x14ac:dyDescent="0.25"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</row>
    <row r="75" spans="2:12" ht="15.75" customHeight="1" x14ac:dyDescent="0.25"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</row>
    <row r="76" spans="2:12" ht="15.75" customHeight="1" x14ac:dyDescent="0.25"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</row>
    <row r="77" spans="2:12" ht="15.75" customHeight="1" x14ac:dyDescent="0.25"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</row>
    <row r="78" spans="2:12" ht="15.75" customHeight="1" x14ac:dyDescent="0.25"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</row>
    <row r="79" spans="2:12" ht="15.75" customHeight="1" x14ac:dyDescent="0.25"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</row>
    <row r="80" spans="2:12" ht="15.75" customHeight="1" x14ac:dyDescent="0.25"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</row>
    <row r="81" spans="2:12" ht="15.75" customHeight="1" x14ac:dyDescent="0.25"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</row>
    <row r="82" spans="2:12" ht="15.75" customHeight="1" x14ac:dyDescent="0.25"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</row>
    <row r="83" spans="2:12" ht="15.75" customHeight="1" x14ac:dyDescent="0.25"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</row>
    <row r="84" spans="2:12" ht="15.75" customHeight="1" x14ac:dyDescent="0.25"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</row>
    <row r="85" spans="2:12" ht="15.75" customHeight="1" x14ac:dyDescent="0.25"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</row>
    <row r="86" spans="2:12" ht="15.75" customHeight="1" x14ac:dyDescent="0.25"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</row>
    <row r="87" spans="2:12" ht="15.75" customHeight="1" x14ac:dyDescent="0.25"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</row>
    <row r="88" spans="2:12" ht="15.75" customHeight="1" x14ac:dyDescent="0.25"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</row>
    <row r="89" spans="2:12" ht="15.75" customHeight="1" x14ac:dyDescent="0.25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</row>
    <row r="90" spans="2:12" ht="15.75" customHeight="1" x14ac:dyDescent="0.25"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</row>
    <row r="91" spans="2:12" ht="15.75" customHeight="1" x14ac:dyDescent="0.25"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</row>
    <row r="92" spans="2:12" ht="15.75" customHeight="1" x14ac:dyDescent="0.25"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</row>
    <row r="93" spans="2:12" ht="15.75" customHeight="1" x14ac:dyDescent="0.25"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</row>
    <row r="94" spans="2:12" ht="15.75" customHeight="1" x14ac:dyDescent="0.25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</row>
    <row r="95" spans="2:12" ht="15.75" customHeight="1" x14ac:dyDescent="0.25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</row>
    <row r="96" spans="2:12" ht="15.75" customHeight="1" x14ac:dyDescent="0.25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</row>
    <row r="97" spans="2:12" ht="15.75" customHeight="1" x14ac:dyDescent="0.25"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</row>
    <row r="98" spans="2:12" ht="15.75" customHeight="1" x14ac:dyDescent="0.25"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</row>
    <row r="99" spans="2:12" ht="15.75" customHeight="1" x14ac:dyDescent="0.25"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</row>
    <row r="100" spans="2:12" ht="15.75" customHeight="1" x14ac:dyDescent="0.25"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</row>
    <row r="101" spans="2:12" ht="15.75" customHeight="1" x14ac:dyDescent="0.25"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</row>
    <row r="102" spans="2:12" ht="15.75" customHeight="1" x14ac:dyDescent="0.25"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</row>
    <row r="103" spans="2:12" ht="15.75" customHeight="1" x14ac:dyDescent="0.25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</row>
    <row r="104" spans="2:12" ht="15.75" customHeight="1" x14ac:dyDescent="0.25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</row>
    <row r="105" spans="2:12" ht="15.75" customHeight="1" x14ac:dyDescent="0.25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</row>
    <row r="106" spans="2:12" ht="15.75" customHeight="1" x14ac:dyDescent="0.25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</row>
    <row r="107" spans="2:12" ht="15.75" customHeight="1" x14ac:dyDescent="0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</row>
    <row r="108" spans="2:12" ht="15.75" customHeight="1" x14ac:dyDescent="0.25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</row>
    <row r="109" spans="2:12" ht="15.75" customHeight="1" x14ac:dyDescent="0.25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</row>
    <row r="110" spans="2:12" ht="15.75" customHeight="1" x14ac:dyDescent="0.25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</row>
    <row r="111" spans="2:12" ht="15.75" customHeight="1" x14ac:dyDescent="0.25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</row>
    <row r="112" spans="2:12" ht="15.75" customHeight="1" x14ac:dyDescent="0.25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</row>
    <row r="113" spans="2:12" ht="15.75" customHeight="1" x14ac:dyDescent="0.25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</row>
    <row r="114" spans="2:12" ht="15.75" customHeight="1" x14ac:dyDescent="0.25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</row>
    <row r="115" spans="2:12" ht="15.75" customHeight="1" x14ac:dyDescent="0.25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</row>
    <row r="116" spans="2:12" ht="15.75" customHeight="1" x14ac:dyDescent="0.25"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</row>
    <row r="117" spans="2:12" ht="15.75" customHeight="1" x14ac:dyDescent="0.25"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</row>
    <row r="118" spans="2:12" ht="15.75" customHeight="1" x14ac:dyDescent="0.25"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</row>
    <row r="119" spans="2:12" ht="15.75" customHeight="1" x14ac:dyDescent="0.25"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</row>
    <row r="120" spans="2:12" ht="15.75" customHeight="1" x14ac:dyDescent="0.25"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</row>
    <row r="121" spans="2:12" ht="15.75" customHeight="1" x14ac:dyDescent="0.25"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</row>
    <row r="122" spans="2:12" ht="15.75" customHeight="1" x14ac:dyDescent="0.25"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</row>
    <row r="123" spans="2:12" ht="15.75" customHeight="1" x14ac:dyDescent="0.25"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</row>
    <row r="124" spans="2:12" ht="15.75" customHeight="1" x14ac:dyDescent="0.25"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</row>
    <row r="125" spans="2:12" ht="15.75" customHeight="1" x14ac:dyDescent="0.25"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</row>
    <row r="126" spans="2:12" ht="15.75" customHeight="1" x14ac:dyDescent="0.25"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</row>
    <row r="127" spans="2:12" ht="15.75" customHeight="1" x14ac:dyDescent="0.25"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</row>
    <row r="128" spans="2:12" ht="15.75" customHeight="1" x14ac:dyDescent="0.25"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</row>
    <row r="129" spans="2:12" ht="15.75" customHeight="1" x14ac:dyDescent="0.25"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</row>
    <row r="130" spans="2:12" ht="15.75" customHeight="1" x14ac:dyDescent="0.25"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</row>
    <row r="131" spans="2:12" ht="15.75" customHeight="1" x14ac:dyDescent="0.25"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</row>
    <row r="132" spans="2:12" ht="15.75" customHeight="1" x14ac:dyDescent="0.25"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</row>
    <row r="133" spans="2:12" ht="15.75" customHeight="1" x14ac:dyDescent="0.25"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</row>
    <row r="134" spans="2:12" ht="15.75" customHeight="1" x14ac:dyDescent="0.25"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</row>
    <row r="135" spans="2:12" ht="15.75" customHeight="1" x14ac:dyDescent="0.25"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</row>
    <row r="136" spans="2:12" ht="15.75" customHeight="1" x14ac:dyDescent="0.25"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</row>
    <row r="137" spans="2:12" ht="15.75" customHeight="1" x14ac:dyDescent="0.25"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</row>
    <row r="138" spans="2:12" ht="15.75" customHeight="1" x14ac:dyDescent="0.25"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</row>
    <row r="139" spans="2:12" ht="15.75" customHeight="1" x14ac:dyDescent="0.25"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</row>
    <row r="140" spans="2:12" ht="15.75" customHeight="1" x14ac:dyDescent="0.25"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</row>
    <row r="141" spans="2:12" ht="15.75" customHeight="1" x14ac:dyDescent="0.25"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</row>
    <row r="142" spans="2:12" ht="15.75" customHeight="1" x14ac:dyDescent="0.25"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</row>
    <row r="143" spans="2:12" ht="15.75" customHeight="1" x14ac:dyDescent="0.25"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</row>
    <row r="144" spans="2:12" ht="15.75" customHeight="1" x14ac:dyDescent="0.25"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</row>
    <row r="145" spans="2:12" ht="15.75" customHeight="1" x14ac:dyDescent="0.25"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</row>
    <row r="146" spans="2:12" ht="15.75" customHeight="1" x14ac:dyDescent="0.25"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</row>
    <row r="147" spans="2:12" ht="15.75" customHeight="1" x14ac:dyDescent="0.25"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</row>
    <row r="148" spans="2:12" ht="15.75" customHeight="1" x14ac:dyDescent="0.25"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</row>
    <row r="149" spans="2:12" ht="15.75" customHeight="1" x14ac:dyDescent="0.25"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</row>
    <row r="150" spans="2:12" ht="15.75" customHeight="1" x14ac:dyDescent="0.25"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</row>
    <row r="151" spans="2:12" ht="15.75" customHeight="1" x14ac:dyDescent="0.25"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</row>
    <row r="152" spans="2:12" ht="15.75" customHeight="1" x14ac:dyDescent="0.25"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</row>
    <row r="153" spans="2:12" ht="15.75" customHeight="1" x14ac:dyDescent="0.25"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</row>
    <row r="154" spans="2:12" ht="15.75" customHeight="1" x14ac:dyDescent="0.25"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</row>
    <row r="155" spans="2:12" ht="15.75" customHeight="1" x14ac:dyDescent="0.25"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</row>
    <row r="156" spans="2:12" ht="15.75" customHeight="1" x14ac:dyDescent="0.25"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</row>
    <row r="157" spans="2:12" ht="15.75" customHeight="1" x14ac:dyDescent="0.25"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</row>
    <row r="158" spans="2:12" ht="15.75" customHeight="1" x14ac:dyDescent="0.25"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</row>
    <row r="159" spans="2:12" ht="15.75" customHeight="1" x14ac:dyDescent="0.25"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</row>
    <row r="160" spans="2:12" ht="15.75" customHeight="1" x14ac:dyDescent="0.25"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</row>
    <row r="161" spans="2:12" ht="15.75" customHeight="1" x14ac:dyDescent="0.25"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</row>
    <row r="162" spans="2:12" ht="15.75" customHeight="1" x14ac:dyDescent="0.25"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</row>
    <row r="163" spans="2:12" ht="15.75" customHeight="1" x14ac:dyDescent="0.25"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</row>
    <row r="164" spans="2:12" ht="15.75" customHeight="1" x14ac:dyDescent="0.25"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</row>
    <row r="165" spans="2:12" ht="15.75" customHeight="1" x14ac:dyDescent="0.25"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</row>
    <row r="166" spans="2:12" ht="15.75" customHeight="1" x14ac:dyDescent="0.25"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</row>
    <row r="167" spans="2:12" ht="15.75" customHeight="1" x14ac:dyDescent="0.25"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</row>
    <row r="168" spans="2:12" ht="15.75" customHeight="1" x14ac:dyDescent="0.25"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</row>
    <row r="169" spans="2:12" ht="15.75" customHeight="1" x14ac:dyDescent="0.25"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</row>
    <row r="170" spans="2:12" ht="15.75" customHeight="1" x14ac:dyDescent="0.25"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</row>
    <row r="171" spans="2:12" ht="15.75" customHeight="1" x14ac:dyDescent="0.25"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</row>
    <row r="172" spans="2:12" ht="15.75" customHeight="1" x14ac:dyDescent="0.25"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</row>
    <row r="173" spans="2:12" ht="15.75" customHeight="1" x14ac:dyDescent="0.25"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</row>
    <row r="174" spans="2:12" ht="15.75" customHeight="1" x14ac:dyDescent="0.25"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</row>
    <row r="175" spans="2:12" ht="15.75" customHeight="1" x14ac:dyDescent="0.25"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</row>
    <row r="176" spans="2:12" ht="15.75" customHeight="1" x14ac:dyDescent="0.25"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</row>
    <row r="177" spans="2:12" ht="15.75" customHeight="1" x14ac:dyDescent="0.25"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</row>
    <row r="178" spans="2:12" ht="15.75" customHeight="1" x14ac:dyDescent="0.25"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</row>
    <row r="179" spans="2:12" ht="15.75" customHeight="1" x14ac:dyDescent="0.25"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</row>
    <row r="180" spans="2:12" ht="15.75" customHeight="1" x14ac:dyDescent="0.25"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</row>
    <row r="181" spans="2:12" ht="15.75" customHeight="1" x14ac:dyDescent="0.25"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</row>
    <row r="182" spans="2:12" ht="15.75" customHeight="1" x14ac:dyDescent="0.25"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</row>
    <row r="183" spans="2:12" ht="15.75" customHeight="1" x14ac:dyDescent="0.25"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</row>
    <row r="184" spans="2:12" ht="15.75" customHeight="1" x14ac:dyDescent="0.25"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</row>
    <row r="185" spans="2:12" ht="15.75" customHeight="1" x14ac:dyDescent="0.25"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</row>
    <row r="186" spans="2:12" ht="15.75" customHeight="1" x14ac:dyDescent="0.25"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</row>
    <row r="187" spans="2:12" ht="15.75" customHeight="1" x14ac:dyDescent="0.25"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</row>
    <row r="188" spans="2:12" ht="15.75" customHeight="1" x14ac:dyDescent="0.25"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</row>
    <row r="189" spans="2:12" ht="15.75" customHeight="1" x14ac:dyDescent="0.25"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</row>
    <row r="190" spans="2:12" ht="15.75" customHeight="1" x14ac:dyDescent="0.25"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</row>
    <row r="191" spans="2:12" ht="15.75" customHeight="1" x14ac:dyDescent="0.25"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</row>
    <row r="192" spans="2:12" ht="15.75" customHeight="1" x14ac:dyDescent="0.25"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</row>
    <row r="193" spans="2:12" ht="15.75" customHeight="1" x14ac:dyDescent="0.25"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</row>
    <row r="194" spans="2:12" ht="15.75" customHeight="1" x14ac:dyDescent="0.25"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</row>
    <row r="195" spans="2:12" ht="15.75" customHeight="1" x14ac:dyDescent="0.25"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</row>
    <row r="196" spans="2:12" ht="15.75" customHeight="1" x14ac:dyDescent="0.25"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</row>
    <row r="197" spans="2:12" ht="15.75" customHeight="1" x14ac:dyDescent="0.25"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</row>
    <row r="198" spans="2:12" ht="15.75" customHeight="1" x14ac:dyDescent="0.25"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</row>
    <row r="199" spans="2:12" ht="15.75" customHeight="1" x14ac:dyDescent="0.25"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</row>
    <row r="200" spans="2:12" ht="15.75" customHeight="1" x14ac:dyDescent="0.25"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</row>
    <row r="201" spans="2:12" ht="15.75" customHeight="1" x14ac:dyDescent="0.25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</row>
    <row r="202" spans="2:12" ht="15.75" customHeight="1" x14ac:dyDescent="0.25"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</row>
    <row r="203" spans="2:12" ht="15.75" customHeight="1" x14ac:dyDescent="0.25"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</row>
    <row r="204" spans="2:12" ht="15.75" customHeight="1" x14ac:dyDescent="0.25"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</row>
    <row r="205" spans="2:12" ht="15.75" customHeight="1" x14ac:dyDescent="0.25"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</row>
    <row r="206" spans="2:12" ht="15.75" customHeight="1" x14ac:dyDescent="0.25"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</row>
    <row r="207" spans="2:12" ht="15.75" customHeight="1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</row>
    <row r="208" spans="2:12" ht="15.75" customHeight="1" x14ac:dyDescent="0.25"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</row>
    <row r="209" spans="2:12" ht="15.75" customHeight="1" x14ac:dyDescent="0.25"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</row>
    <row r="210" spans="2:12" ht="15.75" customHeight="1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</row>
    <row r="211" spans="2:12" ht="15.75" customHeight="1" x14ac:dyDescent="0.25"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</row>
    <row r="212" spans="2:12" ht="15.75" customHeight="1" x14ac:dyDescent="0.25"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</row>
    <row r="213" spans="2:12" ht="15.75" customHeight="1" x14ac:dyDescent="0.25"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</row>
    <row r="214" spans="2:12" ht="15.75" customHeight="1" x14ac:dyDescent="0.25"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</row>
    <row r="215" spans="2:12" ht="15.75" customHeight="1" x14ac:dyDescent="0.25"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</row>
    <row r="216" spans="2:12" ht="15.75" customHeight="1" x14ac:dyDescent="0.25"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</row>
    <row r="217" spans="2:12" ht="15.75" customHeight="1" x14ac:dyDescent="0.25"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</row>
    <row r="218" spans="2:12" ht="15.75" customHeight="1" x14ac:dyDescent="0.25"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</row>
    <row r="219" spans="2:12" ht="15.75" customHeight="1" x14ac:dyDescent="0.25"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</row>
    <row r="220" spans="2:12" ht="15.75" customHeight="1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</row>
    <row r="221" spans="2:12" ht="15.75" customHeight="1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</row>
    <row r="222" spans="2:12" ht="15.75" customHeight="1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</row>
    <row r="223" spans="2:12" ht="15.75" customHeight="1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</row>
    <row r="224" spans="2:12" ht="15.75" customHeight="1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</row>
    <row r="225" spans="2:12" ht="15.75" customHeight="1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</row>
    <row r="226" spans="2:12" ht="15.75" customHeight="1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</row>
    <row r="227" spans="2:12" ht="15.75" customHeight="1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</row>
    <row r="228" spans="2:12" ht="15.75" customHeight="1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</row>
    <row r="229" spans="2:12" ht="15.75" customHeight="1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</row>
    <row r="230" spans="2:12" ht="15.75" customHeight="1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</row>
    <row r="231" spans="2:12" ht="15.75" customHeight="1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</row>
    <row r="232" spans="2:12" ht="15.75" customHeight="1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</row>
    <row r="233" spans="2:12" ht="15.75" customHeight="1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</row>
    <row r="234" spans="2:12" ht="15.75" customHeight="1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</row>
    <row r="235" spans="2:12" ht="15.75" customHeight="1" x14ac:dyDescent="0.25"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</row>
    <row r="236" spans="2:12" ht="15.75" customHeight="1" x14ac:dyDescent="0.25"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</row>
    <row r="237" spans="2:12" ht="15.75" customHeight="1" x14ac:dyDescent="0.25"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</row>
    <row r="238" spans="2:12" ht="15.75" customHeight="1" x14ac:dyDescent="0.25"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</row>
    <row r="239" spans="2:12" ht="15.75" customHeight="1" x14ac:dyDescent="0.25"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</row>
    <row r="240" spans="2:12" ht="15.75" customHeight="1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</row>
    <row r="241" spans="2:12" ht="15.75" customHeight="1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</row>
    <row r="242" spans="2:12" ht="15.75" customHeight="1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</row>
    <row r="243" spans="2:12" ht="15.75" customHeight="1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</row>
    <row r="244" spans="2:12" ht="15.75" customHeight="1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</row>
    <row r="245" spans="2:12" ht="15.75" customHeight="1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</row>
    <row r="246" spans="2:12" ht="15.75" customHeight="1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</row>
    <row r="247" spans="2:12" ht="15.75" customHeight="1" x14ac:dyDescent="0.25"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</row>
    <row r="248" spans="2:12" ht="15.75" customHeight="1" x14ac:dyDescent="0.25"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</row>
    <row r="249" spans="2:12" ht="15.75" customHeight="1" x14ac:dyDescent="0.25"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</row>
    <row r="250" spans="2:12" ht="15.75" customHeight="1" x14ac:dyDescent="0.25"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</row>
    <row r="251" spans="2:12" ht="15.75" customHeight="1" x14ac:dyDescent="0.25"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</row>
    <row r="252" spans="2:12" ht="15.75" customHeight="1" x14ac:dyDescent="0.25"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</row>
    <row r="253" spans="2:12" ht="15.75" customHeight="1" x14ac:dyDescent="0.25"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</row>
    <row r="254" spans="2:12" ht="15.75" customHeight="1" x14ac:dyDescent="0.25"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</row>
    <row r="255" spans="2:12" ht="15.75" customHeight="1" x14ac:dyDescent="0.25"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</row>
    <row r="256" spans="2:12" ht="15.75" customHeight="1" x14ac:dyDescent="0.25"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</row>
    <row r="257" spans="2:12" ht="15.75" customHeight="1" x14ac:dyDescent="0.25"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</row>
    <row r="258" spans="2:12" ht="15.75" customHeight="1" x14ac:dyDescent="0.25"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</row>
    <row r="259" spans="2:12" ht="15.75" customHeight="1" x14ac:dyDescent="0.25"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</row>
    <row r="260" spans="2:12" ht="15.75" customHeight="1" x14ac:dyDescent="0.25"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</row>
    <row r="261" spans="2:12" ht="15.75" customHeight="1" x14ac:dyDescent="0.25"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</row>
    <row r="262" spans="2:12" ht="15.75" customHeight="1" x14ac:dyDescent="0.25"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</row>
    <row r="263" spans="2:12" ht="15.75" customHeight="1" x14ac:dyDescent="0.25"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</row>
    <row r="264" spans="2:12" ht="15.75" customHeight="1" x14ac:dyDescent="0.25"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</row>
    <row r="265" spans="2:12" ht="15.75" customHeight="1" x14ac:dyDescent="0.25"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</row>
    <row r="266" spans="2:12" ht="15.75" customHeight="1" x14ac:dyDescent="0.25"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</row>
    <row r="267" spans="2:12" ht="15.75" customHeight="1" x14ac:dyDescent="0.25"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</row>
    <row r="268" spans="2:12" ht="15.75" customHeight="1" x14ac:dyDescent="0.25"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</row>
    <row r="269" spans="2:12" ht="15.75" customHeight="1" x14ac:dyDescent="0.25"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</row>
    <row r="270" spans="2:12" ht="15.75" customHeight="1" x14ac:dyDescent="0.25"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</row>
    <row r="271" spans="2:12" ht="15.75" customHeight="1" x14ac:dyDescent="0.25"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</row>
    <row r="272" spans="2:12" ht="15.75" customHeight="1" x14ac:dyDescent="0.25"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</row>
    <row r="273" spans="2:12" ht="15.75" customHeight="1" x14ac:dyDescent="0.25"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</row>
    <row r="274" spans="2:12" ht="15.75" customHeight="1" x14ac:dyDescent="0.25"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</row>
    <row r="275" spans="2:12" ht="15.75" customHeight="1" x14ac:dyDescent="0.25"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</row>
    <row r="276" spans="2:12" ht="15.75" customHeight="1" x14ac:dyDescent="0.25"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</row>
    <row r="277" spans="2:12" ht="15.75" customHeight="1" x14ac:dyDescent="0.25"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</row>
    <row r="278" spans="2:12" ht="15.75" customHeight="1" x14ac:dyDescent="0.25"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</row>
    <row r="279" spans="2:12" ht="15.75" customHeight="1" x14ac:dyDescent="0.25"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</row>
    <row r="280" spans="2:12" ht="15.75" customHeight="1" x14ac:dyDescent="0.25"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</row>
    <row r="281" spans="2:12" ht="15.75" customHeight="1" x14ac:dyDescent="0.25"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</row>
    <row r="282" spans="2:12" ht="15.75" customHeight="1" x14ac:dyDescent="0.25"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</row>
    <row r="283" spans="2:12" ht="15.75" customHeight="1" x14ac:dyDescent="0.25"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</row>
    <row r="284" spans="2:12" ht="15.75" customHeight="1" x14ac:dyDescent="0.25"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</row>
    <row r="285" spans="2:12" ht="15.75" customHeight="1" x14ac:dyDescent="0.25"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</row>
    <row r="286" spans="2:12" ht="15.75" customHeight="1" x14ac:dyDescent="0.25"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</row>
    <row r="287" spans="2:12" ht="15.75" customHeight="1" x14ac:dyDescent="0.25"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</row>
    <row r="288" spans="2:12" ht="15.75" customHeight="1" x14ac:dyDescent="0.25"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</row>
    <row r="289" spans="2:12" ht="15.75" customHeight="1" x14ac:dyDescent="0.25"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</row>
    <row r="290" spans="2:12" ht="15.75" customHeight="1" x14ac:dyDescent="0.25"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</row>
    <row r="291" spans="2:12" ht="15.75" customHeight="1" x14ac:dyDescent="0.25"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</row>
    <row r="292" spans="2:12" ht="15.75" customHeight="1" x14ac:dyDescent="0.25"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</row>
    <row r="293" spans="2:12" ht="15.75" customHeight="1" x14ac:dyDescent="0.25"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</row>
    <row r="294" spans="2:12" ht="15.75" customHeight="1" x14ac:dyDescent="0.25"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</row>
    <row r="295" spans="2:12" ht="15.75" customHeight="1" x14ac:dyDescent="0.25"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</row>
    <row r="296" spans="2:12" ht="15.75" customHeight="1" x14ac:dyDescent="0.25"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</row>
    <row r="297" spans="2:12" ht="15.75" customHeight="1" x14ac:dyDescent="0.25"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</row>
    <row r="298" spans="2:12" ht="15.75" customHeight="1" x14ac:dyDescent="0.25"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</row>
    <row r="299" spans="2:12" ht="15.75" customHeight="1" x14ac:dyDescent="0.25"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</row>
    <row r="300" spans="2:12" ht="15.75" customHeight="1" x14ac:dyDescent="0.25"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</row>
    <row r="301" spans="2:12" ht="15.75" customHeight="1" x14ac:dyDescent="0.25"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</row>
    <row r="302" spans="2:12" ht="15.75" customHeight="1" x14ac:dyDescent="0.25"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</row>
    <row r="303" spans="2:12" ht="15.75" customHeight="1" x14ac:dyDescent="0.25"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</row>
    <row r="304" spans="2:12" ht="15.75" customHeight="1" x14ac:dyDescent="0.25"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</row>
    <row r="305" spans="2:12" ht="15.75" customHeight="1" x14ac:dyDescent="0.25"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</row>
    <row r="306" spans="2:12" ht="15.75" customHeight="1" x14ac:dyDescent="0.25"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</row>
    <row r="307" spans="2:12" ht="15.75" customHeight="1" x14ac:dyDescent="0.25"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</row>
    <row r="308" spans="2:12" ht="15.75" customHeight="1" x14ac:dyDescent="0.25"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</row>
    <row r="309" spans="2:12" ht="15.75" customHeight="1" x14ac:dyDescent="0.25"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</row>
    <row r="310" spans="2:12" ht="15.75" customHeight="1" x14ac:dyDescent="0.25"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</row>
    <row r="311" spans="2:12" ht="15.75" customHeight="1" x14ac:dyDescent="0.25"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</row>
    <row r="312" spans="2:12" ht="15.75" customHeight="1" x14ac:dyDescent="0.25"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</row>
    <row r="313" spans="2:12" ht="15.75" customHeight="1" x14ac:dyDescent="0.25"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</row>
    <row r="314" spans="2:12" ht="15.75" customHeight="1" x14ac:dyDescent="0.25"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</row>
    <row r="315" spans="2:12" ht="15.75" customHeight="1" x14ac:dyDescent="0.25"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</row>
    <row r="316" spans="2:12" ht="15.75" customHeight="1" x14ac:dyDescent="0.25"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</row>
    <row r="317" spans="2:12" ht="15.75" customHeight="1" x14ac:dyDescent="0.25"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</row>
    <row r="318" spans="2:12" ht="15.75" customHeight="1" x14ac:dyDescent="0.25"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</row>
    <row r="319" spans="2:12" ht="15.75" customHeight="1" x14ac:dyDescent="0.25"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</row>
    <row r="320" spans="2:12" ht="15.75" customHeight="1" x14ac:dyDescent="0.25"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</row>
    <row r="321" spans="2:12" ht="15.75" customHeight="1" x14ac:dyDescent="0.25"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</row>
    <row r="322" spans="2:12" ht="15.75" customHeight="1" x14ac:dyDescent="0.25"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</row>
    <row r="323" spans="2:12" ht="15.75" customHeight="1" x14ac:dyDescent="0.25"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</row>
    <row r="324" spans="2:12" ht="15.75" customHeight="1" x14ac:dyDescent="0.25"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</row>
    <row r="325" spans="2:12" ht="15.75" customHeight="1" x14ac:dyDescent="0.25"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</row>
    <row r="326" spans="2:12" ht="15.75" customHeight="1" x14ac:dyDescent="0.25"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</row>
    <row r="327" spans="2:12" ht="15.75" customHeight="1" x14ac:dyDescent="0.25"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</row>
    <row r="328" spans="2:12" ht="15.75" customHeight="1" x14ac:dyDescent="0.25"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</row>
    <row r="329" spans="2:12" ht="15.75" customHeight="1" x14ac:dyDescent="0.25"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</row>
    <row r="330" spans="2:12" ht="15.75" customHeight="1" x14ac:dyDescent="0.25"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</row>
    <row r="331" spans="2:12" ht="15.75" customHeight="1" x14ac:dyDescent="0.25"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</row>
    <row r="332" spans="2:12" ht="15.75" customHeight="1" x14ac:dyDescent="0.25"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</row>
    <row r="333" spans="2:12" ht="15.75" customHeight="1" x14ac:dyDescent="0.25"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</row>
    <row r="334" spans="2:12" ht="15.75" customHeight="1" x14ac:dyDescent="0.25"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</row>
    <row r="335" spans="2:12" ht="15.75" customHeight="1" x14ac:dyDescent="0.25"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</row>
    <row r="336" spans="2:12" ht="15.75" customHeight="1" x14ac:dyDescent="0.25"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</row>
    <row r="337" spans="2:12" ht="15.75" customHeight="1" x14ac:dyDescent="0.25"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</row>
    <row r="338" spans="2:12" ht="15.75" customHeight="1" x14ac:dyDescent="0.25"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</row>
    <row r="339" spans="2:12" ht="15.75" customHeight="1" x14ac:dyDescent="0.25"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</row>
    <row r="340" spans="2:12" ht="15.75" customHeight="1" x14ac:dyDescent="0.25"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</row>
    <row r="341" spans="2:12" ht="15.75" customHeight="1" x14ac:dyDescent="0.25"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</row>
    <row r="342" spans="2:12" ht="15.75" customHeight="1" x14ac:dyDescent="0.25"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</row>
    <row r="343" spans="2:12" ht="15.75" customHeight="1" x14ac:dyDescent="0.25"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</row>
    <row r="344" spans="2:12" ht="15.75" customHeight="1" x14ac:dyDescent="0.25"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</row>
    <row r="345" spans="2:12" ht="15.75" customHeight="1" x14ac:dyDescent="0.25"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</row>
    <row r="346" spans="2:12" ht="15.75" customHeight="1" x14ac:dyDescent="0.25"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</row>
    <row r="347" spans="2:12" ht="15.75" customHeight="1" x14ac:dyDescent="0.25"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</row>
    <row r="348" spans="2:12" ht="15.75" customHeight="1" x14ac:dyDescent="0.25"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</row>
    <row r="349" spans="2:12" ht="15.75" customHeight="1" x14ac:dyDescent="0.25"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</row>
    <row r="350" spans="2:12" ht="15.75" customHeight="1" x14ac:dyDescent="0.25"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</row>
    <row r="351" spans="2:12" ht="15.75" customHeight="1" x14ac:dyDescent="0.25"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</row>
    <row r="352" spans="2:12" ht="15.75" customHeight="1" x14ac:dyDescent="0.25"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</row>
    <row r="353" spans="2:12" ht="15.75" customHeight="1" x14ac:dyDescent="0.25"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</row>
    <row r="354" spans="2:12" ht="15.75" customHeight="1" x14ac:dyDescent="0.25"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</row>
    <row r="355" spans="2:12" ht="15.75" customHeight="1" x14ac:dyDescent="0.25"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</row>
    <row r="356" spans="2:12" ht="15.75" customHeight="1" x14ac:dyDescent="0.25"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</row>
    <row r="357" spans="2:12" ht="15.75" customHeight="1" x14ac:dyDescent="0.25"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</row>
    <row r="358" spans="2:12" ht="15.75" customHeight="1" x14ac:dyDescent="0.25"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</row>
    <row r="359" spans="2:12" ht="15.75" customHeight="1" x14ac:dyDescent="0.25"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</row>
    <row r="360" spans="2:12" ht="15.75" customHeight="1" x14ac:dyDescent="0.25"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</row>
    <row r="361" spans="2:12" ht="15.75" customHeight="1" x14ac:dyDescent="0.25"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</row>
    <row r="362" spans="2:12" ht="15.75" customHeight="1" x14ac:dyDescent="0.25"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</row>
    <row r="363" spans="2:12" ht="15.75" customHeight="1" x14ac:dyDescent="0.25"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</row>
    <row r="364" spans="2:12" ht="15.75" customHeight="1" x14ac:dyDescent="0.25"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</row>
    <row r="365" spans="2:12" ht="15.75" customHeight="1" x14ac:dyDescent="0.25"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</row>
    <row r="366" spans="2:12" ht="15.75" customHeight="1" x14ac:dyDescent="0.25"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</row>
    <row r="367" spans="2:12" ht="15.75" customHeight="1" x14ac:dyDescent="0.25"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</row>
    <row r="368" spans="2:12" ht="15.75" customHeight="1" x14ac:dyDescent="0.25"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</row>
    <row r="369" spans="2:12" ht="15.75" customHeight="1" x14ac:dyDescent="0.25"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</row>
    <row r="370" spans="2:12" ht="15.75" customHeight="1" x14ac:dyDescent="0.25"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</row>
    <row r="371" spans="2:12" ht="15.75" customHeight="1" x14ac:dyDescent="0.25"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</row>
    <row r="372" spans="2:12" ht="15.75" customHeight="1" x14ac:dyDescent="0.25"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</row>
    <row r="373" spans="2:12" ht="15.75" customHeight="1" x14ac:dyDescent="0.25"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</row>
    <row r="374" spans="2:12" ht="15.75" customHeight="1" x14ac:dyDescent="0.25"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</row>
    <row r="375" spans="2:12" ht="15.75" customHeight="1" x14ac:dyDescent="0.25"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</row>
    <row r="376" spans="2:12" ht="15.75" customHeight="1" x14ac:dyDescent="0.25"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</row>
    <row r="377" spans="2:12" ht="15.75" customHeight="1" x14ac:dyDescent="0.25"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</row>
    <row r="378" spans="2:12" ht="15.75" customHeight="1" x14ac:dyDescent="0.25"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</row>
    <row r="379" spans="2:12" ht="15.75" customHeight="1" x14ac:dyDescent="0.25"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</row>
    <row r="380" spans="2:12" ht="15.75" customHeight="1" x14ac:dyDescent="0.25"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</row>
    <row r="381" spans="2:12" ht="15.75" customHeight="1" x14ac:dyDescent="0.25"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</row>
    <row r="382" spans="2:12" ht="15.75" customHeight="1" x14ac:dyDescent="0.25"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</row>
    <row r="383" spans="2:12" ht="15.75" customHeight="1" x14ac:dyDescent="0.25"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</row>
    <row r="384" spans="2:12" ht="15.75" customHeight="1" x14ac:dyDescent="0.25"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</row>
    <row r="385" spans="2:12" ht="15.75" customHeight="1" x14ac:dyDescent="0.25"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</row>
    <row r="386" spans="2:12" ht="15.75" customHeight="1" x14ac:dyDescent="0.25"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</row>
    <row r="387" spans="2:12" ht="15.75" customHeight="1" x14ac:dyDescent="0.25"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</row>
    <row r="388" spans="2:12" ht="15.75" customHeight="1" x14ac:dyDescent="0.25"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</row>
    <row r="389" spans="2:12" ht="15.75" customHeight="1" x14ac:dyDescent="0.25"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</row>
    <row r="390" spans="2:12" ht="15.75" customHeight="1" x14ac:dyDescent="0.25"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</row>
    <row r="391" spans="2:12" ht="15.75" customHeight="1" x14ac:dyDescent="0.25"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</row>
    <row r="392" spans="2:12" ht="15.75" customHeight="1" x14ac:dyDescent="0.25"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</row>
    <row r="393" spans="2:12" ht="15.75" customHeight="1" x14ac:dyDescent="0.25"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</row>
    <row r="394" spans="2:12" ht="15.75" customHeight="1" x14ac:dyDescent="0.25"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</row>
    <row r="395" spans="2:12" ht="15.75" customHeight="1" x14ac:dyDescent="0.25"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</row>
    <row r="396" spans="2:12" ht="15.75" customHeight="1" x14ac:dyDescent="0.25"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</row>
    <row r="397" spans="2:12" ht="15.75" customHeight="1" x14ac:dyDescent="0.25"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</row>
    <row r="398" spans="2:12" ht="15.75" customHeight="1" x14ac:dyDescent="0.25"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</row>
    <row r="399" spans="2:12" ht="15.75" customHeight="1" x14ac:dyDescent="0.25"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</row>
    <row r="400" spans="2:12" ht="15.75" customHeight="1" x14ac:dyDescent="0.25"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</row>
    <row r="401" spans="2:12" ht="15.75" customHeight="1" x14ac:dyDescent="0.25"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</row>
    <row r="402" spans="2:12" ht="15.75" customHeight="1" x14ac:dyDescent="0.25"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</row>
    <row r="403" spans="2:12" ht="15.75" customHeight="1" x14ac:dyDescent="0.25"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</row>
    <row r="404" spans="2:12" ht="15.75" customHeight="1" x14ac:dyDescent="0.25"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</row>
    <row r="405" spans="2:12" ht="15.75" customHeight="1" x14ac:dyDescent="0.25"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</row>
    <row r="406" spans="2:12" ht="15.75" customHeight="1" x14ac:dyDescent="0.25"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</row>
    <row r="407" spans="2:12" ht="15.75" customHeight="1" x14ac:dyDescent="0.25"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</row>
    <row r="408" spans="2:12" ht="15.75" customHeight="1" x14ac:dyDescent="0.25"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</row>
    <row r="409" spans="2:12" ht="15.75" customHeight="1" x14ac:dyDescent="0.25"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</row>
    <row r="410" spans="2:12" ht="15.75" customHeight="1" x14ac:dyDescent="0.25"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</row>
    <row r="411" spans="2:12" ht="15.75" customHeight="1" x14ac:dyDescent="0.25"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</row>
    <row r="412" spans="2:12" ht="15.75" customHeight="1" x14ac:dyDescent="0.25"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</row>
    <row r="413" spans="2:12" ht="15.75" customHeight="1" x14ac:dyDescent="0.25"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</row>
    <row r="414" spans="2:12" ht="15.75" customHeight="1" x14ac:dyDescent="0.25"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</row>
    <row r="415" spans="2:12" ht="15.75" customHeight="1" x14ac:dyDescent="0.25"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</row>
    <row r="416" spans="2:12" ht="15.75" customHeight="1" x14ac:dyDescent="0.25"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</row>
    <row r="417" spans="2:12" ht="15.75" customHeight="1" x14ac:dyDescent="0.25"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</row>
    <row r="418" spans="2:12" ht="15.75" customHeight="1" x14ac:dyDescent="0.25"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</row>
    <row r="419" spans="2:12" ht="15.75" customHeight="1" x14ac:dyDescent="0.25"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</row>
    <row r="420" spans="2:12" ht="15.75" customHeight="1" x14ac:dyDescent="0.25"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</row>
    <row r="421" spans="2:12" ht="15.75" customHeight="1" x14ac:dyDescent="0.25"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</row>
    <row r="422" spans="2:12" ht="15.75" customHeight="1" x14ac:dyDescent="0.25"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</row>
    <row r="423" spans="2:12" ht="15.75" customHeight="1" x14ac:dyDescent="0.25"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</row>
    <row r="424" spans="2:12" ht="15.75" customHeight="1" x14ac:dyDescent="0.25"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</row>
    <row r="425" spans="2:12" ht="15.75" customHeight="1" x14ac:dyDescent="0.25"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</row>
    <row r="426" spans="2:12" ht="15.75" customHeight="1" x14ac:dyDescent="0.25"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</row>
    <row r="427" spans="2:12" ht="15.75" customHeight="1" x14ac:dyDescent="0.25"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</row>
    <row r="428" spans="2:12" ht="15.75" customHeight="1" x14ac:dyDescent="0.25"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</row>
    <row r="429" spans="2:12" ht="15.75" customHeight="1" x14ac:dyDescent="0.25"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</row>
    <row r="430" spans="2:12" ht="15.75" customHeight="1" x14ac:dyDescent="0.25"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</row>
    <row r="431" spans="2:12" ht="15.75" customHeight="1" x14ac:dyDescent="0.25"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</row>
    <row r="432" spans="2:12" ht="15.75" customHeight="1" x14ac:dyDescent="0.25"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</row>
    <row r="433" spans="2:12" ht="15.75" customHeight="1" x14ac:dyDescent="0.25"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</row>
    <row r="434" spans="2:12" ht="15.75" customHeight="1" x14ac:dyDescent="0.25"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</row>
    <row r="435" spans="2:12" ht="15.75" customHeight="1" x14ac:dyDescent="0.25"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</row>
    <row r="436" spans="2:12" ht="15.75" customHeight="1" x14ac:dyDescent="0.25"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</row>
    <row r="437" spans="2:12" ht="15.75" customHeight="1" x14ac:dyDescent="0.25"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</row>
    <row r="438" spans="2:12" ht="15.75" customHeight="1" x14ac:dyDescent="0.25"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</row>
    <row r="439" spans="2:12" ht="15.75" customHeight="1" x14ac:dyDescent="0.25"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</row>
    <row r="440" spans="2:12" ht="15.75" customHeight="1" x14ac:dyDescent="0.25"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</row>
    <row r="441" spans="2:12" ht="15.75" customHeight="1" x14ac:dyDescent="0.25"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</row>
    <row r="442" spans="2:12" ht="15.75" customHeight="1" x14ac:dyDescent="0.25"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</row>
    <row r="443" spans="2:12" ht="15.75" customHeight="1" x14ac:dyDescent="0.25"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</row>
    <row r="444" spans="2:12" ht="15.75" customHeight="1" x14ac:dyDescent="0.25"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</row>
    <row r="445" spans="2:12" ht="15.75" customHeight="1" x14ac:dyDescent="0.25"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</row>
    <row r="446" spans="2:12" ht="15.75" customHeight="1" x14ac:dyDescent="0.25"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</row>
    <row r="447" spans="2:12" ht="15.75" customHeight="1" x14ac:dyDescent="0.25"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</row>
    <row r="448" spans="2:12" ht="15.75" customHeight="1" x14ac:dyDescent="0.25"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</row>
    <row r="449" spans="2:12" ht="15.75" customHeight="1" x14ac:dyDescent="0.25"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</row>
    <row r="450" spans="2:12" ht="15.75" customHeight="1" x14ac:dyDescent="0.25"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</row>
    <row r="451" spans="2:12" ht="15.75" customHeight="1" x14ac:dyDescent="0.25"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</row>
    <row r="452" spans="2:12" ht="15.75" customHeight="1" x14ac:dyDescent="0.25"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</row>
    <row r="453" spans="2:12" ht="15.75" customHeight="1" x14ac:dyDescent="0.25"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</row>
    <row r="454" spans="2:12" ht="15.75" customHeight="1" x14ac:dyDescent="0.25"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</row>
    <row r="455" spans="2:12" ht="15.75" customHeight="1" x14ac:dyDescent="0.25"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</row>
    <row r="456" spans="2:12" ht="15.75" customHeight="1" x14ac:dyDescent="0.25"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</row>
    <row r="457" spans="2:12" ht="15.75" customHeight="1" x14ac:dyDescent="0.25"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</row>
    <row r="458" spans="2:12" ht="15.75" customHeight="1" x14ac:dyDescent="0.25"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</row>
    <row r="459" spans="2:12" ht="15.75" customHeight="1" x14ac:dyDescent="0.25"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</row>
    <row r="460" spans="2:12" ht="15.75" customHeight="1" x14ac:dyDescent="0.25"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</row>
    <row r="461" spans="2:12" ht="15.75" customHeight="1" x14ac:dyDescent="0.25"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</row>
    <row r="462" spans="2:12" ht="15.75" customHeight="1" x14ac:dyDescent="0.25"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</row>
    <row r="463" spans="2:12" ht="15.75" customHeight="1" x14ac:dyDescent="0.25"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</row>
    <row r="464" spans="2:12" ht="15.75" customHeight="1" x14ac:dyDescent="0.25"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</row>
    <row r="465" spans="2:12" ht="15.75" customHeight="1" x14ac:dyDescent="0.25"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</row>
    <row r="466" spans="2:12" ht="15.75" customHeight="1" x14ac:dyDescent="0.25"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</row>
    <row r="467" spans="2:12" ht="15.75" customHeight="1" x14ac:dyDescent="0.25"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</row>
    <row r="468" spans="2:12" ht="15.75" customHeight="1" x14ac:dyDescent="0.25"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</row>
    <row r="469" spans="2:12" ht="15.75" customHeight="1" x14ac:dyDescent="0.25"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</row>
    <row r="470" spans="2:12" ht="15.75" customHeight="1" x14ac:dyDescent="0.25"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</row>
    <row r="471" spans="2:12" ht="15.75" customHeight="1" x14ac:dyDescent="0.25"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</row>
    <row r="472" spans="2:12" ht="15.75" customHeight="1" x14ac:dyDescent="0.25"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</row>
    <row r="473" spans="2:12" ht="15.75" customHeight="1" x14ac:dyDescent="0.25"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</row>
    <row r="474" spans="2:12" ht="15.75" customHeight="1" x14ac:dyDescent="0.25"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</row>
    <row r="475" spans="2:12" ht="15.75" customHeight="1" x14ac:dyDescent="0.25"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</row>
    <row r="476" spans="2:12" ht="15.75" customHeight="1" x14ac:dyDescent="0.25"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</row>
    <row r="477" spans="2:12" ht="15.75" customHeight="1" x14ac:dyDescent="0.25"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</row>
    <row r="478" spans="2:12" ht="15.75" customHeight="1" x14ac:dyDescent="0.25"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</row>
    <row r="479" spans="2:12" ht="15.75" customHeight="1" x14ac:dyDescent="0.25"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</row>
    <row r="480" spans="2:12" ht="15.75" customHeight="1" x14ac:dyDescent="0.25"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</row>
    <row r="481" spans="2:12" ht="15.75" customHeight="1" x14ac:dyDescent="0.25"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</row>
    <row r="482" spans="2:12" ht="15.75" customHeight="1" x14ac:dyDescent="0.25"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</row>
    <row r="483" spans="2:12" ht="15.75" customHeight="1" x14ac:dyDescent="0.25"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</row>
    <row r="484" spans="2:12" ht="15.75" customHeight="1" x14ac:dyDescent="0.25"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</row>
    <row r="485" spans="2:12" ht="15.75" customHeight="1" x14ac:dyDescent="0.25"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</row>
    <row r="486" spans="2:12" ht="15.75" customHeight="1" x14ac:dyDescent="0.25"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</row>
    <row r="487" spans="2:12" ht="15.75" customHeight="1" x14ac:dyDescent="0.25"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</row>
    <row r="488" spans="2:12" ht="15.75" customHeight="1" x14ac:dyDescent="0.25"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</row>
    <row r="489" spans="2:12" ht="15.75" customHeight="1" x14ac:dyDescent="0.25"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</row>
    <row r="490" spans="2:12" ht="15.75" customHeight="1" x14ac:dyDescent="0.25"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</row>
    <row r="491" spans="2:12" ht="15.75" customHeight="1" x14ac:dyDescent="0.25"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</row>
    <row r="492" spans="2:12" ht="15.75" customHeight="1" x14ac:dyDescent="0.25"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</row>
    <row r="493" spans="2:12" ht="15.75" customHeight="1" x14ac:dyDescent="0.25"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</row>
    <row r="494" spans="2:12" ht="15.75" customHeight="1" x14ac:dyDescent="0.25"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</row>
    <row r="495" spans="2:12" ht="15.75" customHeight="1" x14ac:dyDescent="0.25"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</row>
    <row r="496" spans="2:12" ht="15.75" customHeight="1" x14ac:dyDescent="0.25"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</row>
    <row r="497" spans="2:12" ht="15.75" customHeight="1" x14ac:dyDescent="0.25"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</row>
    <row r="498" spans="2:12" ht="15.75" customHeight="1" x14ac:dyDescent="0.25"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</row>
    <row r="499" spans="2:12" ht="15.75" customHeight="1" x14ac:dyDescent="0.25"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</row>
    <row r="500" spans="2:12" ht="15.75" customHeight="1" x14ac:dyDescent="0.25"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</row>
    <row r="501" spans="2:12" ht="15.75" customHeight="1" x14ac:dyDescent="0.25"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</row>
    <row r="502" spans="2:12" ht="15.75" customHeight="1" x14ac:dyDescent="0.25"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</row>
    <row r="503" spans="2:12" ht="15.75" customHeight="1" x14ac:dyDescent="0.25"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</row>
    <row r="504" spans="2:12" ht="15.75" customHeight="1" x14ac:dyDescent="0.25"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</row>
    <row r="505" spans="2:12" ht="15.75" customHeight="1" x14ac:dyDescent="0.25"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</row>
    <row r="506" spans="2:12" ht="15.75" customHeight="1" x14ac:dyDescent="0.25"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</row>
    <row r="507" spans="2:12" ht="15.75" customHeight="1" x14ac:dyDescent="0.25"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</row>
    <row r="508" spans="2:12" ht="15.75" customHeight="1" x14ac:dyDescent="0.25"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</row>
    <row r="509" spans="2:12" ht="15.75" customHeight="1" x14ac:dyDescent="0.25"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</row>
    <row r="510" spans="2:12" ht="15.75" customHeight="1" x14ac:dyDescent="0.25"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</row>
    <row r="511" spans="2:12" ht="15.75" customHeight="1" x14ac:dyDescent="0.25"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</row>
    <row r="512" spans="2:12" ht="15.75" customHeight="1" x14ac:dyDescent="0.25"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</row>
    <row r="513" spans="2:12" ht="15.75" customHeight="1" x14ac:dyDescent="0.25"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</row>
    <row r="514" spans="2:12" ht="15.75" customHeight="1" x14ac:dyDescent="0.25"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</row>
    <row r="515" spans="2:12" ht="15.75" customHeight="1" x14ac:dyDescent="0.25"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</row>
    <row r="516" spans="2:12" ht="15.75" customHeight="1" x14ac:dyDescent="0.25"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</row>
    <row r="517" spans="2:12" ht="15.75" customHeight="1" x14ac:dyDescent="0.25"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</row>
    <row r="518" spans="2:12" ht="15.75" customHeight="1" x14ac:dyDescent="0.25"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</row>
    <row r="519" spans="2:12" ht="15.75" customHeight="1" x14ac:dyDescent="0.25"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</row>
    <row r="520" spans="2:12" ht="15.75" customHeight="1" x14ac:dyDescent="0.25"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</row>
    <row r="521" spans="2:12" ht="15.75" customHeight="1" x14ac:dyDescent="0.25"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</row>
    <row r="522" spans="2:12" ht="15.75" customHeight="1" x14ac:dyDescent="0.25"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</row>
    <row r="523" spans="2:12" ht="15.75" customHeight="1" x14ac:dyDescent="0.25"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</row>
    <row r="524" spans="2:12" ht="15.75" customHeight="1" x14ac:dyDescent="0.25"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</row>
    <row r="525" spans="2:12" ht="15.75" customHeight="1" x14ac:dyDescent="0.25"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</row>
    <row r="526" spans="2:12" ht="15.75" customHeight="1" x14ac:dyDescent="0.25"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</row>
    <row r="527" spans="2:12" ht="15.75" customHeight="1" x14ac:dyDescent="0.25"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</row>
    <row r="528" spans="2:12" ht="15.75" customHeight="1" x14ac:dyDescent="0.25"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</row>
    <row r="529" spans="2:12" ht="15.75" customHeight="1" x14ac:dyDescent="0.25"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</row>
    <row r="530" spans="2:12" ht="15.75" customHeight="1" x14ac:dyDescent="0.25"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</row>
    <row r="531" spans="2:12" ht="15.75" customHeight="1" x14ac:dyDescent="0.25"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</row>
    <row r="532" spans="2:12" ht="15.75" customHeight="1" x14ac:dyDescent="0.25"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</row>
    <row r="533" spans="2:12" ht="15.75" customHeight="1" x14ac:dyDescent="0.25"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</row>
    <row r="534" spans="2:12" ht="15.75" customHeight="1" x14ac:dyDescent="0.25"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</row>
    <row r="535" spans="2:12" ht="15.75" customHeight="1" x14ac:dyDescent="0.25"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</row>
    <row r="536" spans="2:12" ht="15.75" customHeight="1" x14ac:dyDescent="0.25"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</row>
    <row r="537" spans="2:12" ht="15.75" customHeight="1" x14ac:dyDescent="0.25"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</row>
    <row r="538" spans="2:12" ht="15.75" customHeight="1" x14ac:dyDescent="0.25"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</row>
    <row r="539" spans="2:12" ht="15.75" customHeight="1" x14ac:dyDescent="0.25"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</row>
    <row r="540" spans="2:12" ht="15.75" customHeight="1" x14ac:dyDescent="0.25"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</row>
    <row r="541" spans="2:12" ht="15.75" customHeight="1" x14ac:dyDescent="0.25"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</row>
    <row r="542" spans="2:12" ht="15.75" customHeight="1" x14ac:dyDescent="0.25"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</row>
    <row r="543" spans="2:12" ht="15.75" customHeight="1" x14ac:dyDescent="0.25"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</row>
    <row r="544" spans="2:12" ht="15.75" customHeight="1" x14ac:dyDescent="0.25"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</row>
    <row r="545" spans="2:12" ht="15.75" customHeight="1" x14ac:dyDescent="0.25"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</row>
    <row r="546" spans="2:12" ht="15.75" customHeight="1" x14ac:dyDescent="0.25"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</row>
    <row r="547" spans="2:12" ht="15.75" customHeight="1" x14ac:dyDescent="0.25"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</row>
    <row r="548" spans="2:12" ht="15.75" customHeight="1" x14ac:dyDescent="0.25"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</row>
    <row r="549" spans="2:12" ht="15.75" customHeight="1" x14ac:dyDescent="0.25"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</row>
    <row r="550" spans="2:12" ht="15.75" customHeight="1" x14ac:dyDescent="0.25"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</row>
    <row r="551" spans="2:12" ht="15.75" customHeight="1" x14ac:dyDescent="0.25"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</row>
    <row r="552" spans="2:12" ht="15.75" customHeight="1" x14ac:dyDescent="0.25"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</row>
    <row r="553" spans="2:12" ht="15.75" customHeight="1" x14ac:dyDescent="0.25"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</row>
    <row r="554" spans="2:12" ht="15.75" customHeight="1" x14ac:dyDescent="0.25"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</row>
    <row r="555" spans="2:12" ht="15.75" customHeight="1" x14ac:dyDescent="0.25"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</row>
    <row r="556" spans="2:12" ht="15.75" customHeight="1" x14ac:dyDescent="0.25"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</row>
    <row r="557" spans="2:12" ht="15.75" customHeight="1" x14ac:dyDescent="0.25"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</row>
    <row r="558" spans="2:12" ht="15.75" customHeight="1" x14ac:dyDescent="0.25"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</row>
    <row r="559" spans="2:12" ht="15.75" customHeight="1" x14ac:dyDescent="0.25"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</row>
    <row r="560" spans="2:12" ht="15.75" customHeight="1" x14ac:dyDescent="0.25"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</row>
    <row r="561" spans="2:12" ht="15.75" customHeight="1" x14ac:dyDescent="0.25"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</row>
    <row r="562" spans="2:12" ht="15.75" customHeight="1" x14ac:dyDescent="0.25"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</row>
    <row r="563" spans="2:12" ht="15.75" customHeight="1" x14ac:dyDescent="0.25"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</row>
    <row r="564" spans="2:12" ht="15.75" customHeight="1" x14ac:dyDescent="0.25"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</row>
    <row r="565" spans="2:12" ht="15.75" customHeight="1" x14ac:dyDescent="0.25"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</row>
    <row r="566" spans="2:12" ht="15.75" customHeight="1" x14ac:dyDescent="0.25"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</row>
    <row r="567" spans="2:12" ht="15.75" customHeight="1" x14ac:dyDescent="0.25"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</row>
    <row r="568" spans="2:12" ht="15.75" customHeight="1" x14ac:dyDescent="0.25"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</row>
    <row r="569" spans="2:12" ht="15.75" customHeight="1" x14ac:dyDescent="0.25"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</row>
    <row r="570" spans="2:12" ht="15.75" customHeight="1" x14ac:dyDescent="0.25"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</row>
    <row r="571" spans="2:12" ht="15.75" customHeight="1" x14ac:dyDescent="0.25"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</row>
    <row r="572" spans="2:12" ht="15.75" customHeight="1" x14ac:dyDescent="0.25"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</row>
    <row r="573" spans="2:12" ht="15.75" customHeight="1" x14ac:dyDescent="0.25"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</row>
    <row r="574" spans="2:12" ht="15.75" customHeight="1" x14ac:dyDescent="0.25"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</row>
    <row r="575" spans="2:12" ht="15.75" customHeight="1" x14ac:dyDescent="0.25"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</row>
    <row r="576" spans="2:12" ht="15.75" customHeight="1" x14ac:dyDescent="0.25"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</row>
    <row r="577" spans="2:12" ht="15.75" customHeight="1" x14ac:dyDescent="0.25"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</row>
    <row r="578" spans="2:12" ht="15.75" customHeight="1" x14ac:dyDescent="0.25"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</row>
    <row r="579" spans="2:12" ht="15.75" customHeight="1" x14ac:dyDescent="0.25"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</row>
    <row r="580" spans="2:12" ht="15.75" customHeight="1" x14ac:dyDescent="0.25"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</row>
    <row r="581" spans="2:12" ht="15.75" customHeight="1" x14ac:dyDescent="0.25"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</row>
    <row r="582" spans="2:12" ht="15.75" customHeight="1" x14ac:dyDescent="0.25"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</row>
    <row r="583" spans="2:12" ht="15.75" customHeight="1" x14ac:dyDescent="0.25"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</row>
    <row r="584" spans="2:12" ht="15.75" customHeight="1" x14ac:dyDescent="0.25"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</row>
    <row r="585" spans="2:12" ht="15.75" customHeight="1" x14ac:dyDescent="0.25"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</row>
    <row r="586" spans="2:12" ht="15.75" customHeight="1" x14ac:dyDescent="0.25"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</row>
    <row r="587" spans="2:12" ht="15.75" customHeight="1" x14ac:dyDescent="0.25"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</row>
    <row r="588" spans="2:12" ht="15.75" customHeight="1" x14ac:dyDescent="0.25"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</row>
    <row r="589" spans="2:12" ht="15.75" customHeight="1" x14ac:dyDescent="0.25"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</row>
    <row r="590" spans="2:12" ht="15.75" customHeight="1" x14ac:dyDescent="0.25"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</row>
    <row r="591" spans="2:12" ht="15.75" customHeight="1" x14ac:dyDescent="0.25"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</row>
    <row r="592" spans="2:12" ht="15.75" customHeight="1" x14ac:dyDescent="0.25"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</row>
    <row r="593" spans="2:12" ht="15.75" customHeight="1" x14ac:dyDescent="0.25"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</row>
    <row r="594" spans="2:12" ht="15.75" customHeight="1" x14ac:dyDescent="0.25"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</row>
    <row r="595" spans="2:12" ht="15.75" customHeight="1" x14ac:dyDescent="0.25"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</row>
    <row r="596" spans="2:12" ht="15.75" customHeight="1" x14ac:dyDescent="0.25"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</row>
    <row r="597" spans="2:12" ht="15.75" customHeight="1" x14ac:dyDescent="0.25"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</row>
    <row r="598" spans="2:12" ht="15.75" customHeight="1" x14ac:dyDescent="0.25"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</row>
    <row r="599" spans="2:12" ht="15.75" customHeight="1" x14ac:dyDescent="0.25"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</row>
    <row r="600" spans="2:12" ht="15.75" customHeight="1" x14ac:dyDescent="0.25"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</row>
    <row r="601" spans="2:12" ht="15.75" customHeight="1" x14ac:dyDescent="0.25"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</row>
    <row r="602" spans="2:12" ht="15.75" customHeight="1" x14ac:dyDescent="0.25"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</row>
    <row r="603" spans="2:12" ht="15.75" customHeight="1" x14ac:dyDescent="0.25"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</row>
    <row r="604" spans="2:12" ht="15.75" customHeight="1" x14ac:dyDescent="0.25"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</row>
    <row r="605" spans="2:12" ht="15.75" customHeight="1" x14ac:dyDescent="0.25"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</row>
    <row r="606" spans="2:12" ht="15.75" customHeight="1" x14ac:dyDescent="0.25"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</row>
    <row r="607" spans="2:12" ht="15.75" customHeight="1" x14ac:dyDescent="0.25"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</row>
    <row r="608" spans="2:12" ht="15.75" customHeight="1" x14ac:dyDescent="0.25"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</row>
    <row r="609" spans="2:12" ht="15.75" customHeight="1" x14ac:dyDescent="0.25"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</row>
    <row r="610" spans="2:12" ht="15.75" customHeight="1" x14ac:dyDescent="0.25"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</row>
    <row r="611" spans="2:12" ht="15.75" customHeight="1" x14ac:dyDescent="0.25"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</row>
    <row r="612" spans="2:12" ht="15.75" customHeight="1" x14ac:dyDescent="0.25"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</row>
    <row r="613" spans="2:12" ht="15.75" customHeight="1" x14ac:dyDescent="0.25"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</row>
    <row r="614" spans="2:12" ht="15.75" customHeight="1" x14ac:dyDescent="0.25"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</row>
    <row r="615" spans="2:12" ht="15.75" customHeight="1" x14ac:dyDescent="0.25"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</row>
    <row r="616" spans="2:12" ht="15.75" customHeight="1" x14ac:dyDescent="0.25"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</row>
    <row r="617" spans="2:12" ht="15.75" customHeight="1" x14ac:dyDescent="0.25"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</row>
    <row r="618" spans="2:12" ht="15.75" customHeight="1" x14ac:dyDescent="0.25"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</row>
    <row r="619" spans="2:12" ht="15.75" customHeight="1" x14ac:dyDescent="0.25"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</row>
    <row r="620" spans="2:12" ht="15.75" customHeight="1" x14ac:dyDescent="0.25"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</row>
    <row r="621" spans="2:12" ht="15.75" customHeight="1" x14ac:dyDescent="0.25"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</row>
    <row r="622" spans="2:12" ht="15.75" customHeight="1" x14ac:dyDescent="0.25"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</row>
    <row r="623" spans="2:12" ht="15.75" customHeight="1" x14ac:dyDescent="0.25"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</row>
    <row r="624" spans="2:12" ht="15.75" customHeight="1" x14ac:dyDescent="0.25"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</row>
    <row r="625" spans="2:12" ht="15.75" customHeight="1" x14ac:dyDescent="0.25"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</row>
    <row r="626" spans="2:12" ht="15.75" customHeight="1" x14ac:dyDescent="0.25"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</row>
    <row r="627" spans="2:12" ht="15.75" customHeight="1" x14ac:dyDescent="0.25"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</row>
    <row r="628" spans="2:12" ht="15.75" customHeight="1" x14ac:dyDescent="0.25"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</row>
    <row r="629" spans="2:12" ht="15.75" customHeight="1" x14ac:dyDescent="0.25"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</row>
    <row r="630" spans="2:12" ht="15.75" customHeight="1" x14ac:dyDescent="0.25"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</row>
    <row r="631" spans="2:12" ht="15.75" customHeight="1" x14ac:dyDescent="0.25"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</row>
    <row r="632" spans="2:12" ht="15.75" customHeight="1" x14ac:dyDescent="0.25"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</row>
    <row r="633" spans="2:12" ht="15.75" customHeight="1" x14ac:dyDescent="0.25"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</row>
    <row r="634" spans="2:12" ht="15.75" customHeight="1" x14ac:dyDescent="0.25"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</row>
    <row r="635" spans="2:12" ht="15.75" customHeight="1" x14ac:dyDescent="0.25"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</row>
    <row r="636" spans="2:12" ht="15.75" customHeight="1" x14ac:dyDescent="0.25"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</row>
    <row r="637" spans="2:12" ht="15.75" customHeight="1" x14ac:dyDescent="0.25"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</row>
    <row r="638" spans="2:12" ht="15.75" customHeight="1" x14ac:dyDescent="0.25"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</row>
    <row r="639" spans="2:12" ht="15.75" customHeight="1" x14ac:dyDescent="0.25"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</row>
    <row r="640" spans="2:12" ht="15.75" customHeight="1" x14ac:dyDescent="0.25"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</row>
    <row r="641" spans="2:12" ht="15.75" customHeight="1" x14ac:dyDescent="0.25"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</row>
    <row r="642" spans="2:12" ht="15.75" customHeight="1" x14ac:dyDescent="0.25"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</row>
    <row r="643" spans="2:12" ht="15.75" customHeight="1" x14ac:dyDescent="0.25"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</row>
    <row r="644" spans="2:12" ht="15.75" customHeight="1" x14ac:dyDescent="0.25"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</row>
    <row r="645" spans="2:12" ht="15.75" customHeight="1" x14ac:dyDescent="0.25"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</row>
    <row r="646" spans="2:12" ht="15.75" customHeight="1" x14ac:dyDescent="0.25"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</row>
    <row r="647" spans="2:12" ht="15.75" customHeight="1" x14ac:dyDescent="0.25"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</row>
    <row r="648" spans="2:12" ht="15.75" customHeight="1" x14ac:dyDescent="0.25"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</row>
    <row r="649" spans="2:12" ht="15.75" customHeight="1" x14ac:dyDescent="0.25"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</row>
    <row r="650" spans="2:12" ht="15.75" customHeight="1" x14ac:dyDescent="0.25"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</row>
    <row r="651" spans="2:12" ht="15.75" customHeight="1" x14ac:dyDescent="0.25"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</row>
    <row r="652" spans="2:12" ht="15.75" customHeight="1" x14ac:dyDescent="0.25"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</row>
    <row r="653" spans="2:12" ht="15.75" customHeight="1" x14ac:dyDescent="0.25"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</row>
    <row r="654" spans="2:12" ht="15.75" customHeight="1" x14ac:dyDescent="0.25"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</row>
    <row r="655" spans="2:12" ht="15.75" customHeight="1" x14ac:dyDescent="0.25"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</row>
    <row r="656" spans="2:12" ht="15.75" customHeight="1" x14ac:dyDescent="0.25"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</row>
    <row r="657" spans="2:12" ht="15.75" customHeight="1" x14ac:dyDescent="0.25"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</row>
    <row r="658" spans="2:12" ht="15.75" customHeight="1" x14ac:dyDescent="0.25"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</row>
    <row r="659" spans="2:12" ht="15.75" customHeight="1" x14ac:dyDescent="0.25"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</row>
    <row r="660" spans="2:12" ht="15.75" customHeight="1" x14ac:dyDescent="0.25"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</row>
    <row r="661" spans="2:12" ht="15.75" customHeight="1" x14ac:dyDescent="0.25"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</row>
    <row r="662" spans="2:12" ht="15.75" customHeight="1" x14ac:dyDescent="0.25"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</row>
    <row r="663" spans="2:12" ht="15.75" customHeight="1" x14ac:dyDescent="0.25"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</row>
    <row r="664" spans="2:12" ht="15.75" customHeight="1" x14ac:dyDescent="0.25"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</row>
    <row r="665" spans="2:12" ht="15.75" customHeight="1" x14ac:dyDescent="0.25"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</row>
    <row r="666" spans="2:12" ht="15.75" customHeight="1" x14ac:dyDescent="0.25"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</row>
    <row r="667" spans="2:12" ht="15.75" customHeight="1" x14ac:dyDescent="0.25"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</row>
    <row r="668" spans="2:12" ht="15.75" customHeight="1" x14ac:dyDescent="0.25"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</row>
    <row r="669" spans="2:12" ht="15.75" customHeight="1" x14ac:dyDescent="0.25"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</row>
    <row r="670" spans="2:12" ht="15.75" customHeight="1" x14ac:dyDescent="0.25"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</row>
    <row r="671" spans="2:12" ht="15.75" customHeight="1" x14ac:dyDescent="0.25"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</row>
    <row r="672" spans="2:12" ht="15.75" customHeight="1" x14ac:dyDescent="0.25"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</row>
    <row r="673" spans="2:12" ht="15.75" customHeight="1" x14ac:dyDescent="0.25"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</row>
    <row r="674" spans="2:12" ht="15.75" customHeight="1" x14ac:dyDescent="0.25"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</row>
    <row r="675" spans="2:12" ht="15.75" customHeight="1" x14ac:dyDescent="0.25"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</row>
    <row r="676" spans="2:12" ht="15.75" customHeight="1" x14ac:dyDescent="0.25"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</row>
    <row r="677" spans="2:12" ht="15.75" customHeight="1" x14ac:dyDescent="0.25"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</row>
    <row r="678" spans="2:12" ht="15.75" customHeight="1" x14ac:dyDescent="0.25"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</row>
    <row r="679" spans="2:12" ht="15.75" customHeight="1" x14ac:dyDescent="0.25"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</row>
    <row r="680" spans="2:12" ht="15.75" customHeight="1" x14ac:dyDescent="0.25"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</row>
    <row r="681" spans="2:12" ht="15.75" customHeight="1" x14ac:dyDescent="0.25"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</row>
    <row r="682" spans="2:12" ht="15.75" customHeight="1" x14ac:dyDescent="0.25"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</row>
    <row r="683" spans="2:12" ht="15.75" customHeight="1" x14ac:dyDescent="0.25"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</row>
    <row r="684" spans="2:12" ht="15.75" customHeight="1" x14ac:dyDescent="0.25"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</row>
    <row r="685" spans="2:12" ht="15.75" customHeight="1" x14ac:dyDescent="0.25"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</row>
    <row r="686" spans="2:12" ht="15.75" customHeight="1" x14ac:dyDescent="0.25"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</row>
    <row r="687" spans="2:12" ht="15.75" customHeight="1" x14ac:dyDescent="0.25"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</row>
    <row r="688" spans="2:12" ht="15.75" customHeight="1" x14ac:dyDescent="0.25"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</row>
    <row r="689" spans="2:12" ht="15.75" customHeight="1" x14ac:dyDescent="0.25"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</row>
    <row r="690" spans="2:12" ht="15.75" customHeight="1" x14ac:dyDescent="0.25"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</row>
    <row r="691" spans="2:12" ht="15.75" customHeight="1" x14ac:dyDescent="0.25"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</row>
    <row r="692" spans="2:12" ht="15.75" customHeight="1" x14ac:dyDescent="0.25"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</row>
    <row r="693" spans="2:12" ht="15.75" customHeight="1" x14ac:dyDescent="0.25"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</row>
    <row r="694" spans="2:12" ht="15.75" customHeight="1" x14ac:dyDescent="0.25"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</row>
    <row r="695" spans="2:12" ht="15.75" customHeight="1" x14ac:dyDescent="0.25"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</row>
    <row r="696" spans="2:12" ht="15.75" customHeight="1" x14ac:dyDescent="0.25"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</row>
    <row r="697" spans="2:12" ht="15.75" customHeight="1" x14ac:dyDescent="0.25"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</row>
    <row r="698" spans="2:12" ht="15.75" customHeight="1" x14ac:dyDescent="0.25"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</row>
    <row r="699" spans="2:12" ht="15.75" customHeight="1" x14ac:dyDescent="0.25"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</row>
    <row r="700" spans="2:12" ht="15.75" customHeight="1" x14ac:dyDescent="0.25"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</row>
    <row r="701" spans="2:12" ht="15.75" customHeight="1" x14ac:dyDescent="0.25"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</row>
    <row r="702" spans="2:12" ht="15.75" customHeight="1" x14ac:dyDescent="0.25"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</row>
    <row r="703" spans="2:12" ht="15.75" customHeight="1" x14ac:dyDescent="0.25"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</row>
    <row r="704" spans="2:12" ht="15.75" customHeight="1" x14ac:dyDescent="0.25"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</row>
    <row r="705" spans="2:12" ht="15.75" customHeight="1" x14ac:dyDescent="0.25"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</row>
    <row r="706" spans="2:12" ht="15.75" customHeight="1" x14ac:dyDescent="0.25"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</row>
    <row r="707" spans="2:12" ht="15.75" customHeight="1" x14ac:dyDescent="0.25"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</row>
    <row r="708" spans="2:12" ht="15.75" customHeight="1" x14ac:dyDescent="0.25"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</row>
    <row r="709" spans="2:12" ht="15.75" customHeight="1" x14ac:dyDescent="0.25"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</row>
    <row r="710" spans="2:12" ht="15.75" customHeight="1" x14ac:dyDescent="0.25"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</row>
    <row r="711" spans="2:12" ht="15.75" customHeight="1" x14ac:dyDescent="0.25"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</row>
    <row r="712" spans="2:12" ht="15.75" customHeight="1" x14ac:dyDescent="0.25"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</row>
    <row r="713" spans="2:12" ht="15.75" customHeight="1" x14ac:dyDescent="0.25"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</row>
    <row r="714" spans="2:12" ht="15.75" customHeight="1" x14ac:dyDescent="0.25"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</row>
    <row r="715" spans="2:12" ht="15.75" customHeight="1" x14ac:dyDescent="0.25"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</row>
    <row r="716" spans="2:12" ht="15.75" customHeight="1" x14ac:dyDescent="0.25"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</row>
    <row r="717" spans="2:12" ht="15.75" customHeight="1" x14ac:dyDescent="0.25"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</row>
    <row r="718" spans="2:12" ht="15.75" customHeight="1" x14ac:dyDescent="0.25"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</row>
    <row r="719" spans="2:12" ht="15.75" customHeight="1" x14ac:dyDescent="0.25"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</row>
    <row r="720" spans="2:12" ht="15.75" customHeight="1" x14ac:dyDescent="0.25"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</row>
    <row r="721" spans="2:12" ht="15.75" customHeight="1" x14ac:dyDescent="0.25"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</row>
    <row r="722" spans="2:12" ht="15.75" customHeight="1" x14ac:dyDescent="0.25"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</row>
    <row r="723" spans="2:12" ht="15.75" customHeight="1" x14ac:dyDescent="0.25"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</row>
    <row r="724" spans="2:12" ht="15.75" customHeight="1" x14ac:dyDescent="0.25"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</row>
    <row r="725" spans="2:12" ht="15.75" customHeight="1" x14ac:dyDescent="0.25"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</row>
    <row r="726" spans="2:12" ht="15.75" customHeight="1" x14ac:dyDescent="0.25"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</row>
    <row r="727" spans="2:12" ht="15.75" customHeight="1" x14ac:dyDescent="0.25"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</row>
    <row r="728" spans="2:12" ht="15.75" customHeight="1" x14ac:dyDescent="0.25"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</row>
    <row r="729" spans="2:12" ht="15.75" customHeight="1" x14ac:dyDescent="0.25"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</row>
    <row r="730" spans="2:12" ht="15.75" customHeight="1" x14ac:dyDescent="0.25"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</row>
    <row r="731" spans="2:12" ht="15.75" customHeight="1" x14ac:dyDescent="0.25"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</row>
    <row r="732" spans="2:12" ht="15.75" customHeight="1" x14ac:dyDescent="0.25"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</row>
    <row r="733" spans="2:12" ht="15.75" customHeight="1" x14ac:dyDescent="0.25"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</row>
    <row r="734" spans="2:12" ht="15.75" customHeight="1" x14ac:dyDescent="0.25"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</row>
    <row r="735" spans="2:12" ht="15.75" customHeight="1" x14ac:dyDescent="0.25"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</row>
    <row r="736" spans="2:12" ht="15.75" customHeight="1" x14ac:dyDescent="0.25"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</row>
    <row r="737" spans="2:12" ht="15.75" customHeight="1" x14ac:dyDescent="0.25"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</row>
    <row r="738" spans="2:12" ht="15.75" customHeight="1" x14ac:dyDescent="0.25"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</row>
    <row r="739" spans="2:12" ht="15.75" customHeight="1" x14ac:dyDescent="0.25"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</row>
    <row r="740" spans="2:12" ht="15.75" customHeight="1" x14ac:dyDescent="0.25"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</row>
    <row r="741" spans="2:12" ht="15.75" customHeight="1" x14ac:dyDescent="0.25"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</row>
    <row r="742" spans="2:12" ht="15.75" customHeight="1" x14ac:dyDescent="0.25"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</row>
    <row r="743" spans="2:12" ht="15.75" customHeight="1" x14ac:dyDescent="0.25"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</row>
    <row r="744" spans="2:12" ht="15.75" customHeight="1" x14ac:dyDescent="0.25"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</row>
    <row r="745" spans="2:12" ht="15.75" customHeight="1" x14ac:dyDescent="0.25"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</row>
    <row r="746" spans="2:12" ht="15.75" customHeight="1" x14ac:dyDescent="0.25"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</row>
    <row r="747" spans="2:12" ht="15.75" customHeight="1" x14ac:dyDescent="0.25"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</row>
    <row r="748" spans="2:12" ht="15.75" customHeight="1" x14ac:dyDescent="0.25"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</row>
    <row r="749" spans="2:12" ht="15.75" customHeight="1" x14ac:dyDescent="0.25"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</row>
    <row r="750" spans="2:12" ht="15.75" customHeight="1" x14ac:dyDescent="0.25"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</row>
    <row r="751" spans="2:12" ht="15.75" customHeight="1" x14ac:dyDescent="0.25"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</row>
    <row r="752" spans="2:12" ht="15.75" customHeight="1" x14ac:dyDescent="0.25"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</row>
    <row r="753" spans="2:12" ht="15.75" customHeight="1" x14ac:dyDescent="0.25"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</row>
    <row r="754" spans="2:12" ht="15.75" customHeight="1" x14ac:dyDescent="0.25"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</row>
    <row r="755" spans="2:12" ht="15.75" customHeight="1" x14ac:dyDescent="0.25"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</row>
    <row r="756" spans="2:12" ht="15.75" customHeight="1" x14ac:dyDescent="0.25"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</row>
    <row r="757" spans="2:12" ht="15.75" customHeight="1" x14ac:dyDescent="0.25"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</row>
    <row r="758" spans="2:12" ht="15.75" customHeight="1" x14ac:dyDescent="0.25"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</row>
    <row r="759" spans="2:12" ht="15.75" customHeight="1" x14ac:dyDescent="0.25"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</row>
    <row r="760" spans="2:12" ht="15.75" customHeight="1" x14ac:dyDescent="0.25"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</row>
    <row r="761" spans="2:12" ht="15.75" customHeight="1" x14ac:dyDescent="0.25"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</row>
    <row r="762" spans="2:12" ht="15.75" customHeight="1" x14ac:dyDescent="0.25"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</row>
    <row r="763" spans="2:12" ht="15.75" customHeight="1" x14ac:dyDescent="0.25"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</row>
    <row r="764" spans="2:12" ht="15.75" customHeight="1" x14ac:dyDescent="0.25"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</row>
    <row r="765" spans="2:12" ht="15.75" customHeight="1" x14ac:dyDescent="0.25"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</row>
    <row r="766" spans="2:12" ht="15.75" customHeight="1" x14ac:dyDescent="0.25"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</row>
    <row r="767" spans="2:12" ht="15.75" customHeight="1" x14ac:dyDescent="0.25"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</row>
    <row r="768" spans="2:12" ht="15.75" customHeight="1" x14ac:dyDescent="0.25"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</row>
    <row r="769" spans="2:12" ht="15.75" customHeight="1" x14ac:dyDescent="0.25"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</row>
    <row r="770" spans="2:12" ht="15.75" customHeight="1" x14ac:dyDescent="0.25"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</row>
    <row r="771" spans="2:12" ht="15.75" customHeight="1" x14ac:dyDescent="0.25"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</row>
    <row r="772" spans="2:12" ht="15.75" customHeight="1" x14ac:dyDescent="0.25"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</row>
    <row r="773" spans="2:12" ht="15.75" customHeight="1" x14ac:dyDescent="0.25"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</row>
    <row r="774" spans="2:12" ht="15.75" customHeight="1" x14ac:dyDescent="0.25"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</row>
    <row r="775" spans="2:12" ht="15.75" customHeight="1" x14ac:dyDescent="0.25"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</row>
    <row r="776" spans="2:12" ht="15.75" customHeight="1" x14ac:dyDescent="0.25"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</row>
    <row r="777" spans="2:12" ht="15.75" customHeight="1" x14ac:dyDescent="0.25"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</row>
    <row r="778" spans="2:12" ht="15.75" customHeight="1" x14ac:dyDescent="0.25"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</row>
    <row r="779" spans="2:12" ht="15.75" customHeight="1" x14ac:dyDescent="0.25"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</row>
    <row r="780" spans="2:12" ht="15.75" customHeight="1" x14ac:dyDescent="0.25"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</row>
    <row r="781" spans="2:12" ht="15.75" customHeight="1" x14ac:dyDescent="0.25"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</row>
    <row r="782" spans="2:12" ht="15.75" customHeight="1" x14ac:dyDescent="0.25"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</row>
    <row r="783" spans="2:12" ht="15.75" customHeight="1" x14ac:dyDescent="0.25"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</row>
    <row r="784" spans="2:12" ht="15.75" customHeight="1" x14ac:dyDescent="0.25"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</row>
    <row r="785" spans="2:12" ht="15.75" customHeight="1" x14ac:dyDescent="0.25"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</row>
    <row r="786" spans="2:12" ht="15.75" customHeight="1" x14ac:dyDescent="0.25"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</row>
    <row r="787" spans="2:12" ht="15.75" customHeight="1" x14ac:dyDescent="0.25"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</row>
    <row r="788" spans="2:12" ht="15.75" customHeight="1" x14ac:dyDescent="0.25"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</row>
    <row r="789" spans="2:12" ht="15.75" customHeight="1" x14ac:dyDescent="0.25"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</row>
    <row r="790" spans="2:12" ht="15.75" customHeight="1" x14ac:dyDescent="0.25"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</row>
    <row r="791" spans="2:12" ht="15.75" customHeight="1" x14ac:dyDescent="0.25"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</row>
    <row r="792" spans="2:12" ht="15.75" customHeight="1" x14ac:dyDescent="0.25"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</row>
    <row r="793" spans="2:12" ht="15.75" customHeight="1" x14ac:dyDescent="0.25"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</row>
    <row r="794" spans="2:12" ht="15.75" customHeight="1" x14ac:dyDescent="0.25"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</row>
    <row r="795" spans="2:12" ht="15.75" customHeight="1" x14ac:dyDescent="0.25"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</row>
    <row r="796" spans="2:12" ht="15.75" customHeight="1" x14ac:dyDescent="0.25"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</row>
    <row r="797" spans="2:12" ht="15.75" customHeight="1" x14ac:dyDescent="0.25"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</row>
    <row r="798" spans="2:12" ht="15.75" customHeight="1" x14ac:dyDescent="0.25"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</row>
    <row r="799" spans="2:12" ht="15.75" customHeight="1" x14ac:dyDescent="0.25"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</row>
    <row r="800" spans="2:12" ht="15.75" customHeight="1" x14ac:dyDescent="0.25"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</row>
    <row r="801" spans="2:12" ht="15.75" customHeight="1" x14ac:dyDescent="0.25"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</row>
    <row r="802" spans="2:12" ht="15.75" customHeight="1" x14ac:dyDescent="0.25"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</row>
    <row r="803" spans="2:12" ht="15.75" customHeight="1" x14ac:dyDescent="0.25"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</row>
    <row r="804" spans="2:12" ht="15.75" customHeight="1" x14ac:dyDescent="0.25"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</row>
    <row r="805" spans="2:12" ht="15.75" customHeight="1" x14ac:dyDescent="0.25"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</row>
    <row r="806" spans="2:12" ht="15.75" customHeight="1" x14ac:dyDescent="0.25"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</row>
    <row r="807" spans="2:12" ht="15.75" customHeight="1" x14ac:dyDescent="0.25"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</row>
    <row r="808" spans="2:12" ht="15.75" customHeight="1" x14ac:dyDescent="0.25"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</row>
    <row r="809" spans="2:12" ht="15.75" customHeight="1" x14ac:dyDescent="0.25"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</row>
    <row r="810" spans="2:12" ht="15.75" customHeight="1" x14ac:dyDescent="0.25"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</row>
    <row r="811" spans="2:12" ht="15.75" customHeight="1" x14ac:dyDescent="0.25"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</row>
    <row r="812" spans="2:12" ht="15.75" customHeight="1" x14ac:dyDescent="0.25"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</row>
    <row r="813" spans="2:12" ht="15.75" customHeight="1" x14ac:dyDescent="0.25"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</row>
    <row r="814" spans="2:12" ht="15.75" customHeight="1" x14ac:dyDescent="0.25"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</row>
    <row r="815" spans="2:12" ht="15.75" customHeight="1" x14ac:dyDescent="0.25"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</row>
    <row r="816" spans="2:12" ht="15.75" customHeight="1" x14ac:dyDescent="0.25"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</row>
    <row r="817" spans="2:12" ht="15.75" customHeight="1" x14ac:dyDescent="0.25"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</row>
    <row r="818" spans="2:12" ht="15.75" customHeight="1" x14ac:dyDescent="0.25"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</row>
    <row r="819" spans="2:12" ht="15.75" customHeight="1" x14ac:dyDescent="0.25"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</row>
    <row r="820" spans="2:12" ht="15.75" customHeight="1" x14ac:dyDescent="0.25"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</row>
    <row r="821" spans="2:12" ht="15.75" customHeight="1" x14ac:dyDescent="0.25"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</row>
    <row r="822" spans="2:12" ht="15.75" customHeight="1" x14ac:dyDescent="0.25"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</row>
    <row r="823" spans="2:12" ht="15.75" customHeight="1" x14ac:dyDescent="0.25"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</row>
    <row r="824" spans="2:12" ht="15.75" customHeight="1" x14ac:dyDescent="0.25"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</row>
    <row r="825" spans="2:12" ht="15.75" customHeight="1" x14ac:dyDescent="0.25"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</row>
    <row r="826" spans="2:12" ht="15.75" customHeight="1" x14ac:dyDescent="0.25"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</row>
    <row r="827" spans="2:12" ht="15.75" customHeight="1" x14ac:dyDescent="0.25"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</row>
    <row r="828" spans="2:12" ht="15.75" customHeight="1" x14ac:dyDescent="0.25"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</row>
    <row r="829" spans="2:12" ht="15.75" customHeight="1" x14ac:dyDescent="0.25"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</row>
    <row r="830" spans="2:12" ht="15.75" customHeight="1" x14ac:dyDescent="0.25"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</row>
    <row r="831" spans="2:12" ht="15.75" customHeight="1" x14ac:dyDescent="0.25"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</row>
    <row r="832" spans="2:12" ht="15.75" customHeight="1" x14ac:dyDescent="0.25"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</row>
    <row r="833" spans="2:12" ht="15.75" customHeight="1" x14ac:dyDescent="0.25"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</row>
    <row r="834" spans="2:12" ht="15.75" customHeight="1" x14ac:dyDescent="0.25"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</row>
    <row r="835" spans="2:12" ht="15.75" customHeight="1" x14ac:dyDescent="0.25"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</row>
    <row r="836" spans="2:12" ht="15.75" customHeight="1" x14ac:dyDescent="0.25"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</row>
    <row r="837" spans="2:12" ht="15.75" customHeight="1" x14ac:dyDescent="0.25"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</row>
    <row r="838" spans="2:12" ht="15.75" customHeight="1" x14ac:dyDescent="0.25"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</row>
    <row r="839" spans="2:12" ht="15.75" customHeight="1" x14ac:dyDescent="0.25"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</row>
    <row r="840" spans="2:12" ht="15.75" customHeight="1" x14ac:dyDescent="0.25"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</row>
    <row r="841" spans="2:12" ht="15.75" customHeight="1" x14ac:dyDescent="0.25"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</row>
    <row r="842" spans="2:12" ht="15.75" customHeight="1" x14ac:dyDescent="0.25"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</row>
    <row r="843" spans="2:12" ht="15.75" customHeight="1" x14ac:dyDescent="0.25"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</row>
    <row r="844" spans="2:12" ht="15.75" customHeight="1" x14ac:dyDescent="0.25"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</row>
    <row r="845" spans="2:12" ht="15.75" customHeight="1" x14ac:dyDescent="0.25"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</row>
    <row r="846" spans="2:12" ht="15.75" customHeight="1" x14ac:dyDescent="0.25"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</row>
    <row r="847" spans="2:12" ht="15.75" customHeight="1" x14ac:dyDescent="0.25"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</row>
    <row r="848" spans="2:12" ht="15.75" customHeight="1" x14ac:dyDescent="0.25"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</row>
    <row r="849" spans="2:12" ht="15.75" customHeight="1" x14ac:dyDescent="0.25"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</row>
    <row r="850" spans="2:12" ht="15.75" customHeight="1" x14ac:dyDescent="0.25"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</row>
    <row r="851" spans="2:12" ht="15.75" customHeight="1" x14ac:dyDescent="0.25"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</row>
    <row r="852" spans="2:12" ht="15.75" customHeight="1" x14ac:dyDescent="0.25"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</row>
    <row r="853" spans="2:12" ht="15.75" customHeight="1" x14ac:dyDescent="0.25"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</row>
    <row r="854" spans="2:12" ht="15.75" customHeight="1" x14ac:dyDescent="0.25"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</row>
    <row r="855" spans="2:12" ht="15.75" customHeight="1" x14ac:dyDescent="0.25"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</row>
    <row r="856" spans="2:12" ht="15.75" customHeight="1" x14ac:dyDescent="0.25"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</row>
    <row r="857" spans="2:12" ht="15.75" customHeight="1" x14ac:dyDescent="0.25"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</row>
    <row r="858" spans="2:12" ht="15.75" customHeight="1" x14ac:dyDescent="0.25"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</row>
    <row r="859" spans="2:12" ht="15.75" customHeight="1" x14ac:dyDescent="0.25"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</row>
    <row r="860" spans="2:12" ht="15.75" customHeight="1" x14ac:dyDescent="0.25"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</row>
    <row r="861" spans="2:12" ht="15.75" customHeight="1" x14ac:dyDescent="0.25"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</row>
    <row r="862" spans="2:12" ht="15.75" customHeight="1" x14ac:dyDescent="0.25"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</row>
    <row r="863" spans="2:12" ht="15.75" customHeight="1" x14ac:dyDescent="0.25"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</row>
    <row r="864" spans="2:12" ht="15.75" customHeight="1" x14ac:dyDescent="0.25"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</row>
    <row r="865" spans="2:12" ht="15.75" customHeight="1" x14ac:dyDescent="0.25"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</row>
    <row r="866" spans="2:12" ht="15.75" customHeight="1" x14ac:dyDescent="0.25"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</row>
    <row r="867" spans="2:12" ht="15.75" customHeight="1" x14ac:dyDescent="0.25"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</row>
    <row r="868" spans="2:12" ht="15.75" customHeight="1" x14ac:dyDescent="0.25"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</row>
    <row r="869" spans="2:12" ht="15.75" customHeight="1" x14ac:dyDescent="0.25"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</row>
    <row r="870" spans="2:12" ht="15.75" customHeight="1" x14ac:dyDescent="0.25"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</row>
    <row r="871" spans="2:12" ht="15.75" customHeight="1" x14ac:dyDescent="0.25"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</row>
    <row r="872" spans="2:12" ht="15.75" customHeight="1" x14ac:dyDescent="0.25"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</row>
    <row r="873" spans="2:12" ht="15.75" customHeight="1" x14ac:dyDescent="0.25"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</row>
    <row r="874" spans="2:12" ht="15.75" customHeight="1" x14ac:dyDescent="0.25"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</row>
    <row r="875" spans="2:12" ht="15.75" customHeight="1" x14ac:dyDescent="0.25"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</row>
    <row r="876" spans="2:12" ht="15.75" customHeight="1" x14ac:dyDescent="0.25"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</row>
    <row r="877" spans="2:12" ht="15.75" customHeight="1" x14ac:dyDescent="0.25"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</row>
    <row r="878" spans="2:12" ht="15.75" customHeight="1" x14ac:dyDescent="0.25"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</row>
    <row r="879" spans="2:12" ht="15.75" customHeight="1" x14ac:dyDescent="0.25"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</row>
    <row r="880" spans="2:12" ht="15.75" customHeight="1" x14ac:dyDescent="0.25"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</row>
    <row r="881" spans="2:12" ht="15.75" customHeight="1" x14ac:dyDescent="0.25"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</row>
    <row r="882" spans="2:12" ht="15.75" customHeight="1" x14ac:dyDescent="0.25"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</row>
    <row r="883" spans="2:12" ht="15.75" customHeight="1" x14ac:dyDescent="0.25"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</row>
    <row r="884" spans="2:12" ht="15.75" customHeight="1" x14ac:dyDescent="0.25"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</row>
    <row r="885" spans="2:12" ht="15.75" customHeight="1" x14ac:dyDescent="0.25"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</row>
    <row r="886" spans="2:12" ht="15.75" customHeight="1" x14ac:dyDescent="0.25"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</row>
    <row r="887" spans="2:12" ht="15.75" customHeight="1" x14ac:dyDescent="0.25"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</row>
    <row r="888" spans="2:12" ht="15.75" customHeight="1" x14ac:dyDescent="0.25"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</row>
    <row r="889" spans="2:12" ht="15.75" customHeight="1" x14ac:dyDescent="0.25"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</row>
    <row r="890" spans="2:12" ht="15.75" customHeight="1" x14ac:dyDescent="0.25"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</row>
    <row r="891" spans="2:12" ht="15.75" customHeight="1" x14ac:dyDescent="0.25"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</row>
    <row r="892" spans="2:12" ht="15.75" customHeight="1" x14ac:dyDescent="0.25"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</row>
    <row r="893" spans="2:12" ht="15.75" customHeight="1" x14ac:dyDescent="0.25"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</row>
    <row r="894" spans="2:12" ht="15.75" customHeight="1" x14ac:dyDescent="0.25"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</row>
    <row r="895" spans="2:12" ht="15.75" customHeight="1" x14ac:dyDescent="0.25"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</row>
    <row r="896" spans="2:12" ht="15.75" customHeight="1" x14ac:dyDescent="0.25"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</row>
    <row r="897" spans="2:12" ht="15.75" customHeight="1" x14ac:dyDescent="0.25"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</row>
    <row r="898" spans="2:12" ht="15.75" customHeight="1" x14ac:dyDescent="0.25"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</row>
    <row r="899" spans="2:12" ht="15.75" customHeight="1" x14ac:dyDescent="0.25"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</row>
    <row r="900" spans="2:12" ht="15.75" customHeight="1" x14ac:dyDescent="0.25"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</row>
    <row r="901" spans="2:12" ht="15.75" customHeight="1" x14ac:dyDescent="0.25"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</row>
    <row r="902" spans="2:12" ht="15.75" customHeight="1" x14ac:dyDescent="0.25"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</row>
    <row r="903" spans="2:12" ht="15.75" customHeight="1" x14ac:dyDescent="0.25"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</row>
    <row r="904" spans="2:12" ht="15.75" customHeight="1" x14ac:dyDescent="0.25"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</row>
    <row r="905" spans="2:12" ht="15.75" customHeight="1" x14ac:dyDescent="0.25"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</row>
    <row r="906" spans="2:12" ht="15.75" customHeight="1" x14ac:dyDescent="0.25"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</row>
    <row r="907" spans="2:12" ht="15.75" customHeight="1" x14ac:dyDescent="0.25"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</row>
    <row r="908" spans="2:12" ht="15.75" customHeight="1" x14ac:dyDescent="0.25"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</row>
    <row r="909" spans="2:12" ht="15.75" customHeight="1" x14ac:dyDescent="0.25"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</row>
    <row r="910" spans="2:12" ht="15.75" customHeight="1" x14ac:dyDescent="0.25"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</row>
    <row r="911" spans="2:12" ht="15.75" customHeight="1" x14ac:dyDescent="0.25"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</row>
    <row r="912" spans="2:12" ht="15.75" customHeight="1" x14ac:dyDescent="0.25"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</row>
    <row r="913" spans="2:12" ht="15.75" customHeight="1" x14ac:dyDescent="0.25"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</row>
    <row r="914" spans="2:12" ht="15.75" customHeight="1" x14ac:dyDescent="0.25"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</row>
    <row r="915" spans="2:12" ht="15.75" customHeight="1" x14ac:dyDescent="0.25"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</row>
    <row r="916" spans="2:12" ht="15.75" customHeight="1" x14ac:dyDescent="0.25"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</row>
    <row r="917" spans="2:12" ht="15.75" customHeight="1" x14ac:dyDescent="0.25"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</row>
    <row r="918" spans="2:12" ht="15.75" customHeight="1" x14ac:dyDescent="0.25"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</row>
    <row r="919" spans="2:12" ht="15.75" customHeight="1" x14ac:dyDescent="0.25"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</row>
    <row r="920" spans="2:12" ht="15.75" customHeight="1" x14ac:dyDescent="0.25"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</row>
    <row r="921" spans="2:12" ht="15.75" customHeight="1" x14ac:dyDescent="0.25"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</row>
    <row r="922" spans="2:12" ht="15.75" customHeight="1" x14ac:dyDescent="0.25"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</row>
    <row r="923" spans="2:12" ht="15.75" customHeight="1" x14ac:dyDescent="0.25"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</row>
    <row r="924" spans="2:12" ht="15.75" customHeight="1" x14ac:dyDescent="0.25"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</row>
    <row r="925" spans="2:12" ht="15.75" customHeight="1" x14ac:dyDescent="0.25"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</row>
    <row r="926" spans="2:12" ht="15.75" customHeight="1" x14ac:dyDescent="0.25"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</row>
    <row r="927" spans="2:12" ht="15.75" customHeight="1" x14ac:dyDescent="0.25"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</row>
    <row r="928" spans="2:12" ht="15.75" customHeight="1" x14ac:dyDescent="0.25"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</row>
    <row r="929" spans="2:12" ht="15.75" customHeight="1" x14ac:dyDescent="0.25"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</row>
    <row r="930" spans="2:12" ht="15.75" customHeight="1" x14ac:dyDescent="0.25"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</row>
    <row r="931" spans="2:12" ht="15.75" customHeight="1" x14ac:dyDescent="0.25"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</row>
    <row r="932" spans="2:12" ht="15.75" customHeight="1" x14ac:dyDescent="0.25"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</row>
    <row r="933" spans="2:12" ht="15.75" customHeight="1" x14ac:dyDescent="0.25"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</row>
    <row r="934" spans="2:12" ht="15.75" customHeight="1" x14ac:dyDescent="0.25"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</row>
    <row r="935" spans="2:12" ht="15.75" customHeight="1" x14ac:dyDescent="0.25"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</row>
    <row r="936" spans="2:12" ht="15.75" customHeight="1" x14ac:dyDescent="0.25"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</row>
    <row r="937" spans="2:12" ht="15.75" customHeight="1" x14ac:dyDescent="0.25"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</row>
    <row r="938" spans="2:12" ht="15.75" customHeight="1" x14ac:dyDescent="0.25"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</row>
    <row r="939" spans="2:12" ht="15.75" customHeight="1" x14ac:dyDescent="0.25"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</row>
    <row r="940" spans="2:12" ht="15.75" customHeight="1" x14ac:dyDescent="0.25"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</row>
    <row r="941" spans="2:12" ht="15.75" customHeight="1" x14ac:dyDescent="0.25"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</row>
    <row r="942" spans="2:12" ht="15.75" customHeight="1" x14ac:dyDescent="0.25"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</row>
    <row r="943" spans="2:12" ht="15.75" customHeight="1" x14ac:dyDescent="0.25"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</row>
    <row r="944" spans="2:12" ht="15.75" customHeight="1" x14ac:dyDescent="0.25"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</row>
    <row r="945" spans="2:12" ht="15.75" customHeight="1" x14ac:dyDescent="0.25"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</row>
    <row r="946" spans="2:12" ht="15.75" customHeight="1" x14ac:dyDescent="0.25"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</row>
    <row r="947" spans="2:12" ht="15.75" customHeight="1" x14ac:dyDescent="0.25"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</row>
    <row r="948" spans="2:12" ht="15.75" customHeight="1" x14ac:dyDescent="0.25"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</row>
    <row r="949" spans="2:12" ht="15.75" customHeight="1" x14ac:dyDescent="0.25"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</row>
    <row r="950" spans="2:12" ht="15.75" customHeight="1" x14ac:dyDescent="0.25"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</row>
    <row r="951" spans="2:12" ht="15.75" customHeight="1" x14ac:dyDescent="0.25"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</row>
    <row r="952" spans="2:12" ht="15.75" customHeight="1" x14ac:dyDescent="0.25"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</row>
    <row r="953" spans="2:12" ht="15.75" customHeight="1" x14ac:dyDescent="0.25"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</row>
    <row r="954" spans="2:12" ht="15.75" customHeight="1" x14ac:dyDescent="0.25"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</row>
    <row r="955" spans="2:12" ht="15.75" customHeight="1" x14ac:dyDescent="0.25"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</row>
    <row r="956" spans="2:12" ht="15.75" customHeight="1" x14ac:dyDescent="0.25"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</row>
    <row r="957" spans="2:12" ht="15.75" customHeight="1" x14ac:dyDescent="0.25"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</row>
    <row r="958" spans="2:12" ht="15.75" customHeight="1" x14ac:dyDescent="0.25"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</row>
    <row r="959" spans="2:12" ht="15.75" customHeight="1" x14ac:dyDescent="0.25"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</row>
    <row r="960" spans="2:12" ht="15.75" customHeight="1" x14ac:dyDescent="0.25"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</row>
    <row r="961" spans="2:12" ht="15.75" customHeight="1" x14ac:dyDescent="0.25"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</row>
    <row r="962" spans="2:12" ht="15.75" customHeight="1" x14ac:dyDescent="0.25"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</row>
    <row r="963" spans="2:12" ht="15.75" customHeight="1" x14ac:dyDescent="0.25"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</row>
    <row r="964" spans="2:12" ht="15.75" customHeight="1" x14ac:dyDescent="0.25"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</row>
    <row r="965" spans="2:12" ht="15.75" customHeight="1" x14ac:dyDescent="0.25"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</row>
    <row r="966" spans="2:12" ht="15.75" customHeight="1" x14ac:dyDescent="0.25"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</row>
    <row r="967" spans="2:12" ht="15.75" customHeight="1" x14ac:dyDescent="0.25"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</row>
    <row r="968" spans="2:12" ht="15.75" customHeight="1" x14ac:dyDescent="0.25"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</row>
    <row r="969" spans="2:12" ht="15.75" customHeight="1" x14ac:dyDescent="0.25"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</row>
    <row r="970" spans="2:12" ht="15.75" customHeight="1" x14ac:dyDescent="0.25"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</row>
    <row r="971" spans="2:12" ht="15.75" customHeight="1" x14ac:dyDescent="0.25"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</row>
    <row r="972" spans="2:12" ht="15.75" customHeight="1" x14ac:dyDescent="0.25"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</row>
    <row r="973" spans="2:12" ht="15.75" customHeight="1" x14ac:dyDescent="0.25"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</row>
    <row r="974" spans="2:12" ht="15.75" customHeight="1" x14ac:dyDescent="0.25"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</row>
    <row r="975" spans="2:12" ht="15.75" customHeight="1" x14ac:dyDescent="0.25"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</row>
    <row r="976" spans="2:12" ht="15.75" customHeight="1" x14ac:dyDescent="0.25"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</row>
    <row r="977" spans="2:12" ht="15.75" customHeight="1" x14ac:dyDescent="0.25"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</row>
    <row r="978" spans="2:12" ht="15.75" customHeight="1" x14ac:dyDescent="0.25"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</row>
    <row r="979" spans="2:12" ht="15.75" customHeight="1" x14ac:dyDescent="0.25"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</row>
    <row r="980" spans="2:12" ht="15.75" customHeight="1" x14ac:dyDescent="0.25"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</row>
    <row r="981" spans="2:12" ht="15.75" customHeight="1" x14ac:dyDescent="0.25"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</row>
    <row r="982" spans="2:12" ht="15.75" customHeight="1" x14ac:dyDescent="0.25"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</row>
    <row r="983" spans="2:12" ht="15.75" customHeight="1" x14ac:dyDescent="0.25"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</row>
    <row r="984" spans="2:12" ht="15.75" customHeight="1" x14ac:dyDescent="0.25"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</row>
    <row r="985" spans="2:12" ht="15.75" customHeight="1" x14ac:dyDescent="0.25"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</row>
    <row r="986" spans="2:12" ht="15.75" customHeight="1" x14ac:dyDescent="0.25"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</row>
    <row r="987" spans="2:12" ht="15.75" customHeight="1" x14ac:dyDescent="0.25"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</row>
    <row r="988" spans="2:12" ht="15.75" customHeight="1" x14ac:dyDescent="0.25"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</row>
    <row r="989" spans="2:12" ht="15.75" customHeight="1" x14ac:dyDescent="0.25"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</row>
    <row r="990" spans="2:12" ht="15.75" customHeight="1" x14ac:dyDescent="0.25"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</row>
    <row r="991" spans="2:12" ht="15.75" customHeight="1" x14ac:dyDescent="0.25"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</row>
    <row r="992" spans="2:12" ht="15.75" customHeight="1" x14ac:dyDescent="0.25"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</row>
    <row r="993" spans="2:12" ht="15.75" customHeight="1" x14ac:dyDescent="0.25"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</row>
    <row r="994" spans="2:12" ht="15.75" customHeight="1" x14ac:dyDescent="0.25"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</row>
    <row r="995" spans="2:12" ht="15.75" customHeight="1" x14ac:dyDescent="0.25"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</row>
    <row r="996" spans="2:12" ht="15.75" customHeight="1" x14ac:dyDescent="0.25"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</row>
    <row r="997" spans="2:12" ht="15.75" customHeight="1" x14ac:dyDescent="0.25"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</row>
    <row r="998" spans="2:12" ht="15.75" customHeight="1" x14ac:dyDescent="0.25"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</row>
    <row r="999" spans="2:12" ht="15.75" customHeight="1" x14ac:dyDescent="0.25"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</row>
    <row r="1000" spans="2:12" ht="15.75" customHeight="1" x14ac:dyDescent="0.25"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</row>
    <row r="1001" spans="2:12" ht="15.75" customHeight="1" x14ac:dyDescent="0.25"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</row>
    <row r="1002" spans="2:12" ht="15.75" customHeight="1" x14ac:dyDescent="0.25"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</row>
    <row r="1003" spans="2:12" ht="15.75" customHeight="1" x14ac:dyDescent="0.25"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</row>
    <row r="1004" spans="2:12" ht="15.75" customHeight="1" x14ac:dyDescent="0.25"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</row>
  </sheetData>
  <mergeCells count="2">
    <mergeCell ref="G1:J1"/>
    <mergeCell ref="D1:E1"/>
  </mergeCells>
  <dataValidations count="3">
    <dataValidation type="list" allowBlank="1" showInputMessage="1" showErrorMessage="1" sqref="D34" xr:uid="{183781EF-3EEB-4563-96D6-2347A57600BA}">
      <formula1>$G$34:$J$34</formula1>
    </dataValidation>
    <dataValidation type="list" allowBlank="1" showInputMessage="1" showErrorMessage="1" sqref="D35" xr:uid="{13522624-0C89-4F7B-8BA0-CB276599ABBF}">
      <formula1>$G$35:$J$35</formula1>
    </dataValidation>
    <dataValidation type="list" allowBlank="1" showInputMessage="1" showErrorMessage="1" sqref="D36" xr:uid="{E8C1BD3E-3E16-4446-85E7-BA107CEC70E5}">
      <formula1>$G$36:$J$36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1FC7-78D6-44EB-8A0A-8FCA9879E0C8}">
  <dimension ref="A1:K1000"/>
  <sheetViews>
    <sheetView workbookViewId="0">
      <selection activeCell="I13" sqref="I13"/>
    </sheetView>
  </sheetViews>
  <sheetFormatPr defaultColWidth="14.42578125" defaultRowHeight="15" x14ac:dyDescent="0.25"/>
  <cols>
    <col min="1" max="1" width="17.5703125" customWidth="1"/>
    <col min="2" max="2" width="15" customWidth="1"/>
    <col min="3" max="3" width="13.42578125" customWidth="1"/>
    <col min="9" max="10" width="10.42578125" customWidth="1"/>
    <col min="11" max="11" width="11.42578125" customWidth="1"/>
    <col min="12" max="26" width="8.85546875" customWidth="1"/>
  </cols>
  <sheetData>
    <row r="1" spans="1:11" ht="60" x14ac:dyDescent="0.25">
      <c r="A1" s="43" t="s">
        <v>277</v>
      </c>
      <c r="B1" s="44" t="s">
        <v>278</v>
      </c>
      <c r="C1" s="44" t="s">
        <v>279</v>
      </c>
      <c r="D1" s="129" t="s">
        <v>280</v>
      </c>
      <c r="E1" s="129"/>
      <c r="F1" s="129"/>
      <c r="G1" s="129"/>
      <c r="H1" s="129"/>
      <c r="I1" s="129"/>
      <c r="J1" s="129"/>
      <c r="K1" s="129"/>
    </row>
    <row r="2" spans="1:11" x14ac:dyDescent="0.25">
      <c r="A2" s="45" t="s">
        <v>281</v>
      </c>
      <c r="B2" s="46" t="s">
        <v>282</v>
      </c>
      <c r="C2" s="46" t="s">
        <v>283</v>
      </c>
      <c r="D2" s="53" t="s">
        <v>284</v>
      </c>
      <c r="E2" s="53" t="s">
        <v>285</v>
      </c>
      <c r="F2" s="53" t="s">
        <v>286</v>
      </c>
      <c r="G2" s="53" t="s">
        <v>287</v>
      </c>
      <c r="H2" s="53" t="s">
        <v>288</v>
      </c>
      <c r="I2" s="53" t="s">
        <v>289</v>
      </c>
      <c r="J2" s="53" t="s">
        <v>290</v>
      </c>
      <c r="K2" s="54" t="s">
        <v>291</v>
      </c>
    </row>
    <row r="3" spans="1:11" x14ac:dyDescent="0.25">
      <c r="A3" s="47" t="s">
        <v>292</v>
      </c>
      <c r="B3" s="48">
        <v>6</v>
      </c>
      <c r="C3" s="48">
        <v>90</v>
      </c>
      <c r="D3" s="55">
        <f>$K3*D$2</f>
        <v>41.811846689895475</v>
      </c>
      <c r="E3" s="55">
        <f t="shared" ref="E3:J3" si="0">$K3*E$2</f>
        <v>52.264808362369337</v>
      </c>
      <c r="F3" s="55">
        <f t="shared" si="0"/>
        <v>62.717770034843198</v>
      </c>
      <c r="G3" s="55">
        <f t="shared" si="0"/>
        <v>73.17073170731706</v>
      </c>
      <c r="H3" s="55">
        <f t="shared" si="0"/>
        <v>83.62369337979095</v>
      </c>
      <c r="I3" s="55">
        <f t="shared" si="0"/>
        <v>88.850174216027867</v>
      </c>
      <c r="J3" s="55">
        <f t="shared" si="0"/>
        <v>94.076655052264812</v>
      </c>
      <c r="K3" s="56">
        <f t="shared" ref="K3:K9" si="1">C3/(1.0278-(0.0278*B3))</f>
        <v>104.52961672473867</v>
      </c>
    </row>
    <row r="4" spans="1:11" x14ac:dyDescent="0.25">
      <c r="A4" s="49" t="s">
        <v>293</v>
      </c>
      <c r="B4" s="48">
        <v>10</v>
      </c>
      <c r="C4" s="48">
        <v>80</v>
      </c>
      <c r="D4" s="55">
        <f t="shared" ref="D4:J9" si="2">$K4*D$2</f>
        <v>42.678047479327823</v>
      </c>
      <c r="E4" s="55">
        <f t="shared" si="2"/>
        <v>53.347559349159773</v>
      </c>
      <c r="F4" s="55">
        <f t="shared" si="2"/>
        <v>64.017071218991731</v>
      </c>
      <c r="G4" s="55">
        <f t="shared" si="2"/>
        <v>74.686583088823681</v>
      </c>
      <c r="H4" s="55">
        <f t="shared" si="2"/>
        <v>85.356094958655646</v>
      </c>
      <c r="I4" s="55">
        <f t="shared" si="2"/>
        <v>90.690850893571607</v>
      </c>
      <c r="J4" s="55">
        <f t="shared" si="2"/>
        <v>96.025606828487597</v>
      </c>
      <c r="K4" s="57">
        <f t="shared" si="1"/>
        <v>106.69511869831955</v>
      </c>
    </row>
    <row r="5" spans="1:11" x14ac:dyDescent="0.25">
      <c r="A5" s="50" t="s">
        <v>294</v>
      </c>
      <c r="B5" s="48"/>
      <c r="C5" s="48"/>
      <c r="D5" s="55">
        <f t="shared" si="2"/>
        <v>0</v>
      </c>
      <c r="E5" s="55">
        <f t="shared" si="2"/>
        <v>0</v>
      </c>
      <c r="F5" s="55">
        <f t="shared" si="2"/>
        <v>0</v>
      </c>
      <c r="G5" s="55">
        <f t="shared" si="2"/>
        <v>0</v>
      </c>
      <c r="H5" s="55">
        <f t="shared" si="2"/>
        <v>0</v>
      </c>
      <c r="I5" s="55">
        <f t="shared" si="2"/>
        <v>0</v>
      </c>
      <c r="J5" s="55">
        <f t="shared" si="2"/>
        <v>0</v>
      </c>
      <c r="K5" s="57">
        <f t="shared" si="1"/>
        <v>0</v>
      </c>
    </row>
    <row r="6" spans="1:11" x14ac:dyDescent="0.25">
      <c r="A6" s="50" t="s">
        <v>295</v>
      </c>
      <c r="B6" s="48"/>
      <c r="C6" s="48"/>
      <c r="D6" s="55">
        <f t="shared" si="2"/>
        <v>0</v>
      </c>
      <c r="E6" s="55">
        <f t="shared" si="2"/>
        <v>0</v>
      </c>
      <c r="F6" s="55">
        <f t="shared" si="2"/>
        <v>0</v>
      </c>
      <c r="G6" s="55">
        <f t="shared" si="2"/>
        <v>0</v>
      </c>
      <c r="H6" s="55">
        <f t="shared" si="2"/>
        <v>0</v>
      </c>
      <c r="I6" s="55">
        <f t="shared" si="2"/>
        <v>0</v>
      </c>
      <c r="J6" s="55">
        <f t="shared" si="2"/>
        <v>0</v>
      </c>
      <c r="K6" s="57">
        <f t="shared" si="1"/>
        <v>0</v>
      </c>
    </row>
    <row r="7" spans="1:11" x14ac:dyDescent="0.25">
      <c r="A7" s="50" t="s">
        <v>296</v>
      </c>
      <c r="B7" s="48"/>
      <c r="C7" s="48"/>
      <c r="D7" s="55">
        <f t="shared" si="2"/>
        <v>0</v>
      </c>
      <c r="E7" s="55">
        <f t="shared" si="2"/>
        <v>0</v>
      </c>
      <c r="F7" s="55">
        <f t="shared" si="2"/>
        <v>0</v>
      </c>
      <c r="G7" s="55">
        <f t="shared" si="2"/>
        <v>0</v>
      </c>
      <c r="H7" s="55">
        <f t="shared" si="2"/>
        <v>0</v>
      </c>
      <c r="I7" s="55">
        <f t="shared" si="2"/>
        <v>0</v>
      </c>
      <c r="J7" s="55">
        <f t="shared" si="2"/>
        <v>0</v>
      </c>
      <c r="K7" s="57">
        <f t="shared" si="1"/>
        <v>0</v>
      </c>
    </row>
    <row r="8" spans="1:11" x14ac:dyDescent="0.25">
      <c r="A8" s="50" t="s">
        <v>297</v>
      </c>
      <c r="B8" s="48"/>
      <c r="C8" s="48"/>
      <c r="D8" s="55">
        <f t="shared" si="2"/>
        <v>0</v>
      </c>
      <c r="E8" s="55">
        <f t="shared" si="2"/>
        <v>0</v>
      </c>
      <c r="F8" s="55">
        <f t="shared" si="2"/>
        <v>0</v>
      </c>
      <c r="G8" s="55">
        <f t="shared" si="2"/>
        <v>0</v>
      </c>
      <c r="H8" s="55">
        <f t="shared" si="2"/>
        <v>0</v>
      </c>
      <c r="I8" s="55">
        <f t="shared" si="2"/>
        <v>0</v>
      </c>
      <c r="J8" s="55">
        <f t="shared" si="2"/>
        <v>0</v>
      </c>
      <c r="K8" s="57">
        <f t="shared" si="1"/>
        <v>0</v>
      </c>
    </row>
    <row r="9" spans="1:11" x14ac:dyDescent="0.25">
      <c r="A9" s="51" t="s">
        <v>298</v>
      </c>
      <c r="B9" s="52"/>
      <c r="C9" s="52"/>
      <c r="D9" s="58">
        <f t="shared" si="2"/>
        <v>0</v>
      </c>
      <c r="E9" s="58">
        <f t="shared" si="2"/>
        <v>0</v>
      </c>
      <c r="F9" s="58">
        <f t="shared" si="2"/>
        <v>0</v>
      </c>
      <c r="G9" s="58">
        <f t="shared" si="2"/>
        <v>0</v>
      </c>
      <c r="H9" s="58">
        <f t="shared" si="2"/>
        <v>0</v>
      </c>
      <c r="I9" s="58">
        <f t="shared" si="2"/>
        <v>0</v>
      </c>
      <c r="J9" s="58">
        <f t="shared" si="2"/>
        <v>0</v>
      </c>
      <c r="K9" s="59">
        <f t="shared" si="1"/>
        <v>0</v>
      </c>
    </row>
    <row r="21" customFormat="1" ht="15.75" customHeight="1" x14ac:dyDescent="0.25"/>
    <row r="22" customFormat="1" ht="15.75" customHeight="1" x14ac:dyDescent="0.25"/>
    <row r="23" customFormat="1" ht="15.75" customHeight="1" x14ac:dyDescent="0.25"/>
    <row r="24" customFormat="1" ht="15.75" customHeight="1" x14ac:dyDescent="0.25"/>
    <row r="25" customFormat="1" ht="15.75" customHeight="1" x14ac:dyDescent="0.25"/>
    <row r="26" customFormat="1" ht="15.75" customHeight="1" x14ac:dyDescent="0.25"/>
    <row r="27" customFormat="1" ht="15.75" customHeight="1" x14ac:dyDescent="0.25"/>
    <row r="28" customFormat="1" ht="15.75" customHeight="1" x14ac:dyDescent="0.25"/>
    <row r="29" customFormat="1" ht="15.75" customHeight="1" x14ac:dyDescent="0.25"/>
    <row r="30" customFormat="1" ht="15.75" customHeight="1" x14ac:dyDescent="0.25"/>
    <row r="31" customFormat="1" ht="15.75" customHeight="1" x14ac:dyDescent="0.25"/>
    <row r="32" customFormat="1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mergeCells count="1">
    <mergeCell ref="D1:K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48AD-02B1-4531-97D6-4124C49EFA83}">
  <dimension ref="A1:K83"/>
  <sheetViews>
    <sheetView tabSelected="1" workbookViewId="0">
      <pane xSplit="2" ySplit="1" topLeftCell="C61" activePane="bottomRight" state="frozen"/>
      <selection pane="topRight" activeCell="C1" sqref="C1"/>
      <selection pane="bottomLeft" activeCell="A2" sqref="A2"/>
      <selection pane="bottomRight" activeCell="B82" sqref="B82"/>
    </sheetView>
  </sheetViews>
  <sheetFormatPr defaultRowHeight="15" x14ac:dyDescent="0.25"/>
  <cols>
    <col min="1" max="1" width="9.140625" style="1" customWidth="1"/>
    <col min="2" max="2" width="38.42578125" bestFit="1" customWidth="1"/>
    <col min="3" max="3" width="12.140625" style="1" customWidth="1"/>
    <col min="4" max="4" width="13.5703125" style="1" customWidth="1"/>
    <col min="5" max="7" width="12.140625" style="1" customWidth="1"/>
    <col min="8" max="8" width="9.7109375" style="1" customWidth="1"/>
    <col min="9" max="9" width="12.42578125" style="1" customWidth="1"/>
    <col min="10" max="10" width="55.140625" bestFit="1" customWidth="1"/>
    <col min="11" max="11" width="54.7109375" bestFit="1" customWidth="1"/>
  </cols>
  <sheetData>
    <row r="1" spans="1:11" s="5" customFormat="1" ht="31.5" x14ac:dyDescent="0.25">
      <c r="A1" s="4" t="s">
        <v>0</v>
      </c>
      <c r="B1" s="5" t="s">
        <v>45</v>
      </c>
      <c r="C1" s="4" t="s">
        <v>34</v>
      </c>
      <c r="D1" s="4" t="s">
        <v>35</v>
      </c>
      <c r="E1" s="4" t="s">
        <v>38</v>
      </c>
      <c r="F1" s="4" t="s">
        <v>41</v>
      </c>
      <c r="G1" s="4" t="s">
        <v>40</v>
      </c>
      <c r="H1" s="4" t="s">
        <v>43</v>
      </c>
      <c r="I1" s="4" t="s">
        <v>39</v>
      </c>
      <c r="J1" s="5" t="s">
        <v>44</v>
      </c>
      <c r="K1" s="5" t="s">
        <v>1</v>
      </c>
    </row>
    <row r="2" spans="1:11" x14ac:dyDescent="0.25">
      <c r="A2" s="1">
        <v>1</v>
      </c>
      <c r="B2" s="2" t="s">
        <v>2</v>
      </c>
      <c r="C2" s="1" t="s">
        <v>32</v>
      </c>
      <c r="E2" s="1" t="s">
        <v>36</v>
      </c>
      <c r="F2" s="1" t="s">
        <v>42</v>
      </c>
      <c r="H2" s="1">
        <v>1</v>
      </c>
      <c r="J2" t="s">
        <v>318</v>
      </c>
      <c r="K2" s="3" t="s">
        <v>3</v>
      </c>
    </row>
    <row r="3" spans="1:11" x14ac:dyDescent="0.25">
      <c r="A3" s="1">
        <v>2</v>
      </c>
      <c r="B3" s="2" t="s">
        <v>4</v>
      </c>
      <c r="C3" s="1" t="s">
        <v>32</v>
      </c>
      <c r="E3" s="1" t="s">
        <v>36</v>
      </c>
      <c r="F3" s="1" t="s">
        <v>42</v>
      </c>
      <c r="H3" s="1">
        <v>1</v>
      </c>
      <c r="K3" s="3" t="s">
        <v>5</v>
      </c>
    </row>
    <row r="4" spans="1:11" x14ac:dyDescent="0.25">
      <c r="A4" s="1">
        <v>3</v>
      </c>
      <c r="B4" s="2" t="s">
        <v>6</v>
      </c>
      <c r="C4" s="1" t="s">
        <v>32</v>
      </c>
      <c r="E4" s="1" t="s">
        <v>36</v>
      </c>
      <c r="F4" s="1" t="s">
        <v>42</v>
      </c>
      <c r="H4" s="1">
        <v>1</v>
      </c>
      <c r="K4" s="3" t="s">
        <v>7</v>
      </c>
    </row>
    <row r="5" spans="1:11" x14ac:dyDescent="0.25">
      <c r="A5" s="1">
        <v>4</v>
      </c>
      <c r="B5" s="2" t="s">
        <v>8</v>
      </c>
      <c r="C5" s="1" t="s">
        <v>32</v>
      </c>
      <c r="E5" s="1" t="s">
        <v>36</v>
      </c>
      <c r="F5" s="1" t="s">
        <v>42</v>
      </c>
      <c r="H5" s="1">
        <v>2</v>
      </c>
      <c r="K5" s="3" t="s">
        <v>9</v>
      </c>
    </row>
    <row r="6" spans="1:11" x14ac:dyDescent="0.25">
      <c r="A6" s="1">
        <v>5</v>
      </c>
      <c r="B6" s="2" t="s">
        <v>10</v>
      </c>
      <c r="C6" s="1" t="s">
        <v>32</v>
      </c>
      <c r="E6" s="1" t="s">
        <v>36</v>
      </c>
      <c r="F6" s="1" t="s">
        <v>42</v>
      </c>
      <c r="H6" s="1">
        <v>2</v>
      </c>
      <c r="K6" s="3" t="s">
        <v>11</v>
      </c>
    </row>
    <row r="7" spans="1:11" x14ac:dyDescent="0.25">
      <c r="A7" s="1">
        <v>6</v>
      </c>
      <c r="B7" s="2" t="s">
        <v>12</v>
      </c>
      <c r="C7" s="1" t="s">
        <v>32</v>
      </c>
      <c r="E7" s="1" t="s">
        <v>36</v>
      </c>
      <c r="F7" s="1" t="s">
        <v>42</v>
      </c>
      <c r="H7" s="1">
        <v>2</v>
      </c>
      <c r="K7" s="3" t="s">
        <v>13</v>
      </c>
    </row>
    <row r="8" spans="1:11" x14ac:dyDescent="0.25">
      <c r="A8" s="1">
        <v>7</v>
      </c>
      <c r="B8" s="2" t="s">
        <v>14</v>
      </c>
      <c r="C8" s="1" t="s">
        <v>32</v>
      </c>
      <c r="E8" s="1" t="s">
        <v>36</v>
      </c>
      <c r="F8" s="1" t="s">
        <v>42</v>
      </c>
      <c r="H8" s="1">
        <v>3</v>
      </c>
      <c r="K8" s="3" t="s">
        <v>15</v>
      </c>
    </row>
    <row r="9" spans="1:11" x14ac:dyDescent="0.25">
      <c r="A9" s="1">
        <v>8</v>
      </c>
      <c r="B9" s="2" t="s">
        <v>16</v>
      </c>
      <c r="C9" s="1" t="s">
        <v>32</v>
      </c>
      <c r="E9" s="1" t="s">
        <v>36</v>
      </c>
      <c r="F9" s="1" t="s">
        <v>42</v>
      </c>
      <c r="H9" s="1">
        <v>3</v>
      </c>
      <c r="K9" s="3" t="s">
        <v>17</v>
      </c>
    </row>
    <row r="10" spans="1:11" x14ac:dyDescent="0.25">
      <c r="A10" s="1">
        <v>9</v>
      </c>
      <c r="B10" s="6" t="s">
        <v>72</v>
      </c>
      <c r="C10" s="1" t="s">
        <v>32</v>
      </c>
      <c r="E10" s="1" t="s">
        <v>36</v>
      </c>
      <c r="F10" s="1" t="s">
        <v>42</v>
      </c>
      <c r="H10" s="1">
        <v>3</v>
      </c>
      <c r="K10" s="3" t="s">
        <v>11</v>
      </c>
    </row>
    <row r="11" spans="1:11" x14ac:dyDescent="0.25">
      <c r="A11" s="1">
        <v>10</v>
      </c>
      <c r="B11" s="6" t="s">
        <v>46</v>
      </c>
      <c r="C11" s="1" t="s">
        <v>33</v>
      </c>
      <c r="E11" s="1" t="s">
        <v>36</v>
      </c>
      <c r="F11" s="1" t="s">
        <v>42</v>
      </c>
      <c r="K11" s="3" t="s">
        <v>18</v>
      </c>
    </row>
    <row r="12" spans="1:11" x14ac:dyDescent="0.25">
      <c r="A12" s="1">
        <v>11</v>
      </c>
      <c r="B12" s="6" t="s">
        <v>47</v>
      </c>
      <c r="C12" s="1" t="s">
        <v>33</v>
      </c>
      <c r="E12" s="1" t="s">
        <v>36</v>
      </c>
      <c r="G12" s="1" t="s">
        <v>42</v>
      </c>
      <c r="K12" s="3" t="s">
        <v>23</v>
      </c>
    </row>
    <row r="13" spans="1:11" x14ac:dyDescent="0.25">
      <c r="A13" s="1">
        <v>12</v>
      </c>
      <c r="B13" s="6" t="s">
        <v>48</v>
      </c>
      <c r="C13" s="1" t="s">
        <v>33</v>
      </c>
      <c r="E13" s="1" t="s">
        <v>36</v>
      </c>
      <c r="G13" s="1" t="s">
        <v>42</v>
      </c>
      <c r="K13" s="3" t="s">
        <v>64</v>
      </c>
    </row>
    <row r="14" spans="1:11" x14ac:dyDescent="0.25">
      <c r="A14" s="1">
        <v>13</v>
      </c>
      <c r="B14" s="6" t="s">
        <v>49</v>
      </c>
      <c r="C14" s="1" t="s">
        <v>33</v>
      </c>
      <c r="E14" s="1" t="s">
        <v>36</v>
      </c>
      <c r="F14" s="1" t="s">
        <v>42</v>
      </c>
      <c r="K14" s="3" t="s">
        <v>28</v>
      </c>
    </row>
    <row r="15" spans="1:11" x14ac:dyDescent="0.25">
      <c r="A15" s="1">
        <v>14</v>
      </c>
      <c r="B15" s="6" t="s">
        <v>50</v>
      </c>
      <c r="C15" s="1" t="s">
        <v>33</v>
      </c>
      <c r="E15" s="1" t="s">
        <v>36</v>
      </c>
      <c r="K15" s="3" t="s">
        <v>27</v>
      </c>
    </row>
    <row r="16" spans="1:11" x14ac:dyDescent="0.25">
      <c r="A16" s="1">
        <v>15</v>
      </c>
      <c r="B16" s="6" t="s">
        <v>51</v>
      </c>
      <c r="C16" s="1" t="s">
        <v>33</v>
      </c>
      <c r="E16" s="1" t="s">
        <v>36</v>
      </c>
      <c r="K16" s="3" t="s">
        <v>65</v>
      </c>
    </row>
    <row r="17" spans="1:11" x14ac:dyDescent="0.25">
      <c r="A17" s="1">
        <v>16</v>
      </c>
      <c r="B17" s="6" t="s">
        <v>52</v>
      </c>
      <c r="C17" s="1" t="s">
        <v>33</v>
      </c>
      <c r="E17" s="1" t="s">
        <v>36</v>
      </c>
      <c r="K17" s="3" t="s">
        <v>26</v>
      </c>
    </row>
    <row r="18" spans="1:11" x14ac:dyDescent="0.25">
      <c r="A18" s="1">
        <v>17</v>
      </c>
      <c r="B18" s="6" t="s">
        <v>53</v>
      </c>
      <c r="C18" s="1" t="s">
        <v>33</v>
      </c>
      <c r="E18" s="1" t="s">
        <v>36</v>
      </c>
      <c r="K18" s="3" t="s">
        <v>66</v>
      </c>
    </row>
    <row r="19" spans="1:11" x14ac:dyDescent="0.25">
      <c r="A19" s="1">
        <v>18</v>
      </c>
      <c r="B19" s="6" t="s">
        <v>54</v>
      </c>
      <c r="C19" s="1" t="s">
        <v>33</v>
      </c>
      <c r="E19" s="1" t="s">
        <v>36</v>
      </c>
      <c r="K19" s="3"/>
    </row>
    <row r="20" spans="1:11" x14ac:dyDescent="0.25">
      <c r="A20" s="1">
        <v>19</v>
      </c>
      <c r="B20" s="6" t="s">
        <v>55</v>
      </c>
      <c r="C20" s="1" t="s">
        <v>33</v>
      </c>
      <c r="E20" s="1" t="s">
        <v>36</v>
      </c>
      <c r="K20" s="3" t="s">
        <v>19</v>
      </c>
    </row>
    <row r="21" spans="1:11" x14ac:dyDescent="0.25">
      <c r="A21" s="1">
        <v>20</v>
      </c>
      <c r="B21" s="6" t="s">
        <v>56</v>
      </c>
      <c r="C21" s="1" t="s">
        <v>33</v>
      </c>
      <c r="E21" s="1" t="s">
        <v>36</v>
      </c>
      <c r="K21" s="3" t="s">
        <v>67</v>
      </c>
    </row>
    <row r="22" spans="1:11" x14ac:dyDescent="0.25">
      <c r="A22" s="1">
        <v>21</v>
      </c>
      <c r="B22" s="6" t="s">
        <v>57</v>
      </c>
      <c r="C22" s="1" t="s">
        <v>33</v>
      </c>
      <c r="E22" s="1" t="s">
        <v>36</v>
      </c>
      <c r="K22" s="3" t="s">
        <v>68</v>
      </c>
    </row>
    <row r="23" spans="1:11" x14ac:dyDescent="0.25">
      <c r="A23" s="1">
        <v>22</v>
      </c>
      <c r="B23" s="6" t="s">
        <v>58</v>
      </c>
      <c r="C23" s="1" t="s">
        <v>33</v>
      </c>
      <c r="E23" s="1" t="s">
        <v>36</v>
      </c>
      <c r="K23" s="3" t="s">
        <v>69</v>
      </c>
    </row>
    <row r="24" spans="1:11" x14ac:dyDescent="0.25">
      <c r="A24" s="1">
        <v>23</v>
      </c>
      <c r="B24" s="6" t="s">
        <v>59</v>
      </c>
      <c r="C24" s="1" t="s">
        <v>33</v>
      </c>
      <c r="E24" s="1" t="s">
        <v>36</v>
      </c>
      <c r="K24" s="3" t="s">
        <v>20</v>
      </c>
    </row>
    <row r="25" spans="1:11" x14ac:dyDescent="0.25">
      <c r="A25" s="1">
        <v>24</v>
      </c>
      <c r="B25" s="6" t="s">
        <v>60</v>
      </c>
      <c r="C25" s="1" t="s">
        <v>33</v>
      </c>
      <c r="E25" s="1" t="s">
        <v>36</v>
      </c>
      <c r="K25" s="3" t="s">
        <v>17</v>
      </c>
    </row>
    <row r="26" spans="1:11" x14ac:dyDescent="0.25">
      <c r="A26" s="1">
        <v>25</v>
      </c>
      <c r="B26" s="6" t="s">
        <v>61</v>
      </c>
      <c r="C26" s="1" t="s">
        <v>33</v>
      </c>
      <c r="E26" s="1" t="s">
        <v>37</v>
      </c>
      <c r="K26" s="3" t="s">
        <v>70</v>
      </c>
    </row>
    <row r="27" spans="1:11" x14ac:dyDescent="0.25">
      <c r="A27" s="1">
        <v>26</v>
      </c>
      <c r="B27" s="6" t="s">
        <v>62</v>
      </c>
      <c r="C27" s="1" t="s">
        <v>33</v>
      </c>
      <c r="E27" s="1" t="s">
        <v>37</v>
      </c>
      <c r="K27" s="3" t="s">
        <v>71</v>
      </c>
    </row>
    <row r="28" spans="1:11" x14ac:dyDescent="0.25">
      <c r="A28" s="1">
        <v>27</v>
      </c>
      <c r="B28" s="6" t="s">
        <v>63</v>
      </c>
      <c r="C28" s="1" t="s">
        <v>33</v>
      </c>
      <c r="E28" s="1" t="s">
        <v>36</v>
      </c>
      <c r="K28" s="3" t="s">
        <v>31</v>
      </c>
    </row>
    <row r="29" spans="1:11" x14ac:dyDescent="0.25">
      <c r="A29" s="1">
        <v>28</v>
      </c>
      <c r="B29" s="6" t="s">
        <v>73</v>
      </c>
      <c r="C29" s="1" t="s">
        <v>33</v>
      </c>
      <c r="E29" s="1" t="s">
        <v>36</v>
      </c>
      <c r="K29" s="3" t="s">
        <v>74</v>
      </c>
    </row>
    <row r="30" spans="1:11" ht="30" x14ac:dyDescent="0.25">
      <c r="A30" s="1">
        <v>29</v>
      </c>
      <c r="B30" s="6" t="s">
        <v>75</v>
      </c>
      <c r="C30" s="1" t="s">
        <v>33</v>
      </c>
      <c r="D30" s="1" t="s">
        <v>308</v>
      </c>
      <c r="E30" s="1" t="s">
        <v>309</v>
      </c>
      <c r="K30" s="3" t="s">
        <v>76</v>
      </c>
    </row>
    <row r="31" spans="1:11" x14ac:dyDescent="0.25">
      <c r="A31" s="1">
        <v>30</v>
      </c>
      <c r="B31" s="6" t="s">
        <v>77</v>
      </c>
      <c r="C31" s="1" t="s">
        <v>33</v>
      </c>
      <c r="E31" s="1" t="s">
        <v>36</v>
      </c>
      <c r="K31" s="3" t="s">
        <v>78</v>
      </c>
    </row>
    <row r="32" spans="1:11" x14ac:dyDescent="0.25">
      <c r="A32" s="1">
        <v>31</v>
      </c>
      <c r="B32" s="6" t="s">
        <v>79</v>
      </c>
      <c r="C32" s="1" t="s">
        <v>33</v>
      </c>
      <c r="D32" s="1" t="s">
        <v>307</v>
      </c>
      <c r="E32" s="1" t="s">
        <v>36</v>
      </c>
      <c r="K32" s="3" t="s">
        <v>74</v>
      </c>
    </row>
    <row r="33" spans="1:11" x14ac:dyDescent="0.25">
      <c r="A33" s="1">
        <v>32</v>
      </c>
      <c r="B33" s="130" t="s">
        <v>80</v>
      </c>
      <c r="C33" s="1" t="s">
        <v>33</v>
      </c>
      <c r="D33" s="1" t="s">
        <v>307</v>
      </c>
      <c r="E33" s="1" t="s">
        <v>36</v>
      </c>
      <c r="K33" s="3" t="s">
        <v>74</v>
      </c>
    </row>
    <row r="34" spans="1:11" x14ac:dyDescent="0.25">
      <c r="A34" s="1">
        <v>33</v>
      </c>
      <c r="B34" s="6" t="s">
        <v>310</v>
      </c>
      <c r="C34" s="1" t="s">
        <v>33</v>
      </c>
      <c r="K34" s="3" t="s">
        <v>74</v>
      </c>
    </row>
    <row r="35" spans="1:11" x14ac:dyDescent="0.25">
      <c r="A35" s="1">
        <v>34</v>
      </c>
      <c r="B35" s="6" t="s">
        <v>81</v>
      </c>
      <c r="K35" s="3" t="s">
        <v>82</v>
      </c>
    </row>
    <row r="36" spans="1:11" x14ac:dyDescent="0.25">
      <c r="A36" s="1">
        <v>35</v>
      </c>
      <c r="B36" s="6" t="s">
        <v>83</v>
      </c>
      <c r="K36" s="3" t="s">
        <v>17</v>
      </c>
    </row>
    <row r="37" spans="1:11" x14ac:dyDescent="0.25">
      <c r="A37" s="1">
        <v>36</v>
      </c>
      <c r="B37" s="6" t="s">
        <v>84</v>
      </c>
      <c r="K37" s="3"/>
    </row>
    <row r="38" spans="1:11" x14ac:dyDescent="0.25">
      <c r="A38" s="1">
        <v>37</v>
      </c>
      <c r="B38" s="6" t="s">
        <v>24</v>
      </c>
      <c r="K38" s="3" t="s">
        <v>25</v>
      </c>
    </row>
    <row r="39" spans="1:11" x14ac:dyDescent="0.25">
      <c r="A39" s="1">
        <v>38</v>
      </c>
      <c r="B39" s="6" t="s">
        <v>85</v>
      </c>
      <c r="K39" s="3" t="s">
        <v>9</v>
      </c>
    </row>
    <row r="40" spans="1:11" x14ac:dyDescent="0.25">
      <c r="A40" s="1">
        <v>39</v>
      </c>
      <c r="B40" s="6" t="s">
        <v>86</v>
      </c>
      <c r="K40" s="3" t="s">
        <v>15</v>
      </c>
    </row>
    <row r="41" spans="1:11" x14ac:dyDescent="0.25">
      <c r="A41" s="1">
        <v>40</v>
      </c>
      <c r="B41" s="6" t="s">
        <v>87</v>
      </c>
      <c r="K41" s="3"/>
    </row>
    <row r="42" spans="1:11" x14ac:dyDescent="0.25">
      <c r="A42" s="1">
        <v>41</v>
      </c>
      <c r="B42" s="6" t="s">
        <v>88</v>
      </c>
      <c r="K42" s="3" t="s">
        <v>89</v>
      </c>
    </row>
    <row r="43" spans="1:11" x14ac:dyDescent="0.25">
      <c r="A43" s="1">
        <v>42</v>
      </c>
      <c r="B43" s="6" t="s">
        <v>90</v>
      </c>
      <c r="K43" s="3" t="s">
        <v>91</v>
      </c>
    </row>
    <row r="44" spans="1:11" x14ac:dyDescent="0.25">
      <c r="A44" s="1">
        <v>43</v>
      </c>
      <c r="B44" s="6" t="s">
        <v>306</v>
      </c>
      <c r="J44" s="6" t="s">
        <v>92</v>
      </c>
      <c r="K44" s="3" t="s">
        <v>93</v>
      </c>
    </row>
    <row r="45" spans="1:11" x14ac:dyDescent="0.25">
      <c r="A45" s="1">
        <v>44</v>
      </c>
      <c r="B45" s="6" t="s">
        <v>94</v>
      </c>
      <c r="K45" s="3" t="s">
        <v>95</v>
      </c>
    </row>
    <row r="46" spans="1:11" x14ac:dyDescent="0.25">
      <c r="A46" s="1">
        <v>45</v>
      </c>
      <c r="B46" s="6" t="s">
        <v>96</v>
      </c>
      <c r="K46" s="3" t="s">
        <v>22</v>
      </c>
    </row>
    <row r="47" spans="1:11" x14ac:dyDescent="0.25">
      <c r="A47" s="1">
        <v>46</v>
      </c>
      <c r="B47" s="6" t="s">
        <v>97</v>
      </c>
      <c r="K47" s="3" t="s">
        <v>29</v>
      </c>
    </row>
    <row r="48" spans="1:11" x14ac:dyDescent="0.25">
      <c r="A48" s="1">
        <v>47</v>
      </c>
      <c r="B48" s="6" t="s">
        <v>98</v>
      </c>
      <c r="K48" s="3"/>
    </row>
    <row r="49" spans="1:11" x14ac:dyDescent="0.25">
      <c r="A49" s="1">
        <v>48</v>
      </c>
      <c r="B49" s="6" t="s">
        <v>99</v>
      </c>
      <c r="K49" s="3" t="s">
        <v>100</v>
      </c>
    </row>
    <row r="50" spans="1:11" x14ac:dyDescent="0.25">
      <c r="A50" s="1">
        <v>49</v>
      </c>
      <c r="B50" s="6" t="s">
        <v>101</v>
      </c>
      <c r="K50" s="3" t="s">
        <v>21</v>
      </c>
    </row>
    <row r="51" spans="1:11" x14ac:dyDescent="0.25">
      <c r="A51" s="1">
        <v>50</v>
      </c>
      <c r="B51" s="6" t="s">
        <v>102</v>
      </c>
      <c r="K51" s="3" t="s">
        <v>103</v>
      </c>
    </row>
    <row r="52" spans="1:11" x14ac:dyDescent="0.25">
      <c r="A52" s="1">
        <v>51</v>
      </c>
      <c r="B52" s="6" t="s">
        <v>104</v>
      </c>
      <c r="K52" s="3" t="s">
        <v>105</v>
      </c>
    </row>
    <row r="53" spans="1:11" x14ac:dyDescent="0.25">
      <c r="A53" s="1">
        <v>52</v>
      </c>
      <c r="B53" s="6" t="s">
        <v>106</v>
      </c>
      <c r="K53" s="3"/>
    </row>
    <row r="54" spans="1:11" x14ac:dyDescent="0.25">
      <c r="A54" s="1">
        <v>53</v>
      </c>
      <c r="B54" s="6" t="s">
        <v>107</v>
      </c>
      <c r="K54" s="3"/>
    </row>
    <row r="55" spans="1:11" x14ac:dyDescent="0.25">
      <c r="A55" s="1">
        <v>54</v>
      </c>
      <c r="B55" s="6" t="s">
        <v>108</v>
      </c>
      <c r="K55" s="3"/>
    </row>
    <row r="56" spans="1:11" x14ac:dyDescent="0.25">
      <c r="A56" s="1">
        <v>55</v>
      </c>
      <c r="B56" s="6" t="s">
        <v>109</v>
      </c>
      <c r="K56" s="3" t="s">
        <v>110</v>
      </c>
    </row>
    <row r="57" spans="1:11" x14ac:dyDescent="0.25">
      <c r="A57" s="1">
        <v>56</v>
      </c>
      <c r="B57" s="6" t="s">
        <v>111</v>
      </c>
      <c r="K57" s="3" t="s">
        <v>30</v>
      </c>
    </row>
    <row r="58" spans="1:11" x14ac:dyDescent="0.25">
      <c r="A58" s="1">
        <v>57</v>
      </c>
      <c r="B58" s="6" t="s">
        <v>112</v>
      </c>
      <c r="K58" s="3"/>
    </row>
    <row r="59" spans="1:11" x14ac:dyDescent="0.25">
      <c r="A59" s="1">
        <v>58</v>
      </c>
      <c r="B59" s="6" t="s">
        <v>113</v>
      </c>
      <c r="K59" s="3" t="s">
        <v>114</v>
      </c>
    </row>
    <row r="60" spans="1:11" x14ac:dyDescent="0.25">
      <c r="A60" s="1">
        <v>59</v>
      </c>
      <c r="B60" s="6" t="s">
        <v>115</v>
      </c>
      <c r="K60" s="3" t="s">
        <v>116</v>
      </c>
    </row>
    <row r="61" spans="1:11" x14ac:dyDescent="0.25">
      <c r="A61" s="1">
        <v>60</v>
      </c>
      <c r="B61" s="6" t="s">
        <v>117</v>
      </c>
      <c r="K61" s="3" t="s">
        <v>118</v>
      </c>
    </row>
    <row r="62" spans="1:11" x14ac:dyDescent="0.25">
      <c r="A62" s="1">
        <v>61</v>
      </c>
      <c r="B62" s="6" t="s">
        <v>119</v>
      </c>
      <c r="K62" s="3" t="s">
        <v>74</v>
      </c>
    </row>
    <row r="63" spans="1:11" x14ac:dyDescent="0.25">
      <c r="A63" s="1">
        <v>62</v>
      </c>
      <c r="B63" s="6" t="s">
        <v>120</v>
      </c>
      <c r="K63" s="3" t="s">
        <v>121</v>
      </c>
    </row>
    <row r="64" spans="1:11" x14ac:dyDescent="0.25">
      <c r="A64" s="1">
        <v>63</v>
      </c>
      <c r="B64" s="6" t="s">
        <v>122</v>
      </c>
      <c r="K64" s="3" t="s">
        <v>123</v>
      </c>
    </row>
    <row r="65" spans="1:11" x14ac:dyDescent="0.25">
      <c r="A65" s="1">
        <v>64</v>
      </c>
      <c r="B65" s="6" t="s">
        <v>124</v>
      </c>
      <c r="K65" s="3" t="s">
        <v>125</v>
      </c>
    </row>
    <row r="66" spans="1:11" x14ac:dyDescent="0.25">
      <c r="A66" s="1">
        <v>65</v>
      </c>
      <c r="B66" s="6" t="s">
        <v>126</v>
      </c>
      <c r="K66" s="3" t="s">
        <v>127</v>
      </c>
    </row>
    <row r="67" spans="1:11" x14ac:dyDescent="0.25">
      <c r="A67" s="1">
        <v>66</v>
      </c>
      <c r="B67" s="6" t="s">
        <v>128</v>
      </c>
      <c r="K67" s="3" t="s">
        <v>129</v>
      </c>
    </row>
    <row r="68" spans="1:11" x14ac:dyDescent="0.25">
      <c r="A68" s="1">
        <v>67</v>
      </c>
      <c r="B68" s="6" t="s">
        <v>130</v>
      </c>
      <c r="C68"/>
      <c r="K68" s="3"/>
    </row>
    <row r="69" spans="1:11" x14ac:dyDescent="0.25">
      <c r="A69" s="1">
        <v>68</v>
      </c>
      <c r="B69" s="6" t="s">
        <v>131</v>
      </c>
      <c r="K69" s="3" t="s">
        <v>132</v>
      </c>
    </row>
    <row r="70" spans="1:11" x14ac:dyDescent="0.25">
      <c r="A70" s="1">
        <v>69</v>
      </c>
      <c r="B70" s="6" t="s">
        <v>133</v>
      </c>
      <c r="K70" s="3" t="s">
        <v>134</v>
      </c>
    </row>
    <row r="71" spans="1:11" x14ac:dyDescent="0.25">
      <c r="A71" s="1">
        <v>70</v>
      </c>
      <c r="B71" s="6" t="s">
        <v>135</v>
      </c>
      <c r="K71" s="3" t="s">
        <v>136</v>
      </c>
    </row>
    <row r="72" spans="1:11" x14ac:dyDescent="0.25">
      <c r="A72" s="1">
        <v>71</v>
      </c>
      <c r="B72" s="6" t="s">
        <v>137</v>
      </c>
      <c r="K72" s="3" t="s">
        <v>138</v>
      </c>
    </row>
    <row r="73" spans="1:11" x14ac:dyDescent="0.25">
      <c r="A73" s="1">
        <v>72</v>
      </c>
      <c r="B73" s="6" t="s">
        <v>139</v>
      </c>
      <c r="K73" s="3" t="s">
        <v>140</v>
      </c>
    </row>
    <row r="74" spans="1:11" x14ac:dyDescent="0.25">
      <c r="A74" s="1">
        <v>73</v>
      </c>
      <c r="B74" s="6" t="s">
        <v>141</v>
      </c>
      <c r="K74" s="3"/>
    </row>
    <row r="75" spans="1:11" x14ac:dyDescent="0.25">
      <c r="A75" s="1">
        <v>74</v>
      </c>
      <c r="B75" s="6" t="s">
        <v>142</v>
      </c>
      <c r="K75" s="3" t="s">
        <v>143</v>
      </c>
    </row>
    <row r="76" spans="1:11" x14ac:dyDescent="0.25">
      <c r="A76" s="1">
        <v>75</v>
      </c>
      <c r="B76" s="6" t="s">
        <v>144</v>
      </c>
      <c r="K76" s="3"/>
    </row>
    <row r="77" spans="1:11" x14ac:dyDescent="0.25">
      <c r="A77" s="1">
        <v>76</v>
      </c>
      <c r="B77" s="6" t="s">
        <v>145</v>
      </c>
      <c r="K77" s="3"/>
    </row>
    <row r="78" spans="1:11" x14ac:dyDescent="0.25">
      <c r="A78" s="1">
        <v>77</v>
      </c>
      <c r="B78" s="6" t="s">
        <v>146</v>
      </c>
      <c r="K78" s="3"/>
    </row>
    <row r="79" spans="1:11" x14ac:dyDescent="0.25">
      <c r="A79" s="1">
        <v>78</v>
      </c>
      <c r="B79" s="6" t="s">
        <v>147</v>
      </c>
      <c r="K79" s="3"/>
    </row>
    <row r="80" spans="1:11" x14ac:dyDescent="0.25">
      <c r="A80" s="1">
        <v>79</v>
      </c>
      <c r="B80" s="6" t="s">
        <v>148</v>
      </c>
      <c r="K80" s="3"/>
    </row>
    <row r="81" spans="1:11" x14ac:dyDescent="0.25">
      <c r="A81" s="1">
        <v>80</v>
      </c>
      <c r="B81" s="6" t="s">
        <v>149</v>
      </c>
      <c r="K81" s="3"/>
    </row>
    <row r="82" spans="1:11" x14ac:dyDescent="0.25">
      <c r="A82" s="1">
        <v>81</v>
      </c>
      <c r="B82" s="6" t="s">
        <v>150</v>
      </c>
      <c r="K82" s="3"/>
    </row>
    <row r="83" spans="1:11" x14ac:dyDescent="0.25">
      <c r="A83" s="1">
        <v>82</v>
      </c>
      <c r="B83" s="6" t="s">
        <v>151</v>
      </c>
      <c r="K83" s="3" t="s">
        <v>152</v>
      </c>
    </row>
  </sheetData>
  <autoFilter ref="A1:K1" xr:uid="{512848AD-02B1-4531-97D6-4124C49EFA83}"/>
  <hyperlinks>
    <hyperlink ref="K2" r:id="rId1" xr:uid="{E0929276-8D69-4E64-A1CF-46C328AB7AD1}"/>
    <hyperlink ref="K3" r:id="rId2" xr:uid="{21546ADB-9C11-4328-AE25-C125E6857380}"/>
    <hyperlink ref="K4" r:id="rId3" xr:uid="{591F7BB0-7828-47C1-BB59-4C83232C191E}"/>
    <hyperlink ref="K5" r:id="rId4" xr:uid="{854FDDA9-035B-421F-9A40-E00CA68B55D0}"/>
    <hyperlink ref="K6" r:id="rId5" xr:uid="{AE500FC0-09A5-48E6-9AB6-6303A282078C}"/>
    <hyperlink ref="K7" r:id="rId6" xr:uid="{9449D4CB-AA9B-4D4C-BFEC-2B2DB188B3BE}"/>
    <hyperlink ref="K8" r:id="rId7" xr:uid="{25ADE952-A803-435C-B3AF-268A2C3D8096}"/>
    <hyperlink ref="K9" r:id="rId8" xr:uid="{44499B7F-ED2F-440A-82E8-D40DF7078282}"/>
    <hyperlink ref="K11" r:id="rId9" xr:uid="{2EF5E501-F8BF-4CA7-884B-2F338C5CD5DD}"/>
    <hyperlink ref="K12" r:id="rId10" xr:uid="{58C5B372-4EC5-467E-A667-974E93E113FB}"/>
    <hyperlink ref="K13" r:id="rId11" xr:uid="{3C27ED23-F2C3-4772-B48F-1E793C378134}"/>
    <hyperlink ref="K14" r:id="rId12" xr:uid="{9F3C0877-3EF9-4479-836A-3BA7DAF1AB4B}"/>
    <hyperlink ref="K15" r:id="rId13" xr:uid="{89E30C28-082C-4478-B8A7-F429B02C8EA7}"/>
    <hyperlink ref="K16" r:id="rId14" xr:uid="{6AC356D7-B288-44B6-80E3-ED866AFFF55D}"/>
    <hyperlink ref="K17" r:id="rId15" xr:uid="{20E97ABF-72CB-4C14-ADAB-3430D8BBD919}"/>
    <hyperlink ref="K18" r:id="rId16" xr:uid="{C5FBCBA9-3309-4C9B-BDF1-6ABCF186AD04}"/>
    <hyperlink ref="K20" r:id="rId17" xr:uid="{713F147E-4D29-4735-BE74-17B7B9302CB5}"/>
    <hyperlink ref="K21" r:id="rId18" xr:uid="{D3F11BCC-D82E-432C-9639-D0BC959B7B9F}"/>
    <hyperlink ref="K22" r:id="rId19" xr:uid="{A946E464-4207-4D52-865E-B81925D40930}"/>
    <hyperlink ref="K23" r:id="rId20" xr:uid="{BB297E66-45CE-438F-843E-4835CF8D3591}"/>
    <hyperlink ref="K24" r:id="rId21" xr:uid="{311AFC00-E01F-49D1-8ED8-43363C223723}"/>
    <hyperlink ref="K25" r:id="rId22" xr:uid="{CED6CCD2-05FE-4572-99D2-D80A2533B239}"/>
    <hyperlink ref="K26" r:id="rId23" xr:uid="{F3C44F6A-0B02-41BD-B8B0-0EB338EBD566}"/>
    <hyperlink ref="K27" r:id="rId24" xr:uid="{3C6F1BC8-A986-46E8-AB6A-A506AE6A702C}"/>
    <hyperlink ref="K28" r:id="rId25" xr:uid="{FF5CBD8D-BAA0-4BCF-B0A8-B56B196EF87F}"/>
    <hyperlink ref="K10" r:id="rId26" xr:uid="{A829204C-BC91-4308-8699-40CC7979C432}"/>
    <hyperlink ref="K30" r:id="rId27" xr:uid="{89533D39-F3E6-4E2F-9EB8-C17F361EA5EB}"/>
    <hyperlink ref="K31" r:id="rId28" xr:uid="{C9592E61-F8D2-4A41-81B9-D5AED7C092E7}"/>
    <hyperlink ref="K35" r:id="rId29" xr:uid="{BF886AF0-41E6-43B2-8080-9ECC04290828}"/>
    <hyperlink ref="K36" r:id="rId30" xr:uid="{83AE99F3-B78A-42EA-8B9C-F5B9ECE38A90}"/>
    <hyperlink ref="K38" r:id="rId31" xr:uid="{0DC21439-ED0D-460A-AE02-E37DD581A7B5}"/>
    <hyperlink ref="K39" r:id="rId32" xr:uid="{D0A716DB-0A6A-4FE6-95A1-653CF5C5C70E}"/>
    <hyperlink ref="K40" r:id="rId33" xr:uid="{E359D0E7-492B-4B5D-924E-30508AD62CA0}"/>
    <hyperlink ref="K42" r:id="rId34" xr:uid="{F3BD103D-AAF2-4C40-9579-4C3075CAA596}"/>
    <hyperlink ref="K43" r:id="rId35" xr:uid="{8013217A-2651-4CAC-97A8-863715D14471}"/>
    <hyperlink ref="K44" r:id="rId36" xr:uid="{79A031E3-2240-4616-A70A-008B2AE485B5}"/>
    <hyperlink ref="K45" r:id="rId37" xr:uid="{48850435-9A35-4A33-B8BA-B497F7438AAE}"/>
    <hyperlink ref="K46" r:id="rId38" xr:uid="{7AAB9F43-2545-457E-9B90-5645F235D036}"/>
    <hyperlink ref="K47" r:id="rId39" xr:uid="{E3C46BDD-55B0-4820-8C7C-45634E4A63BC}"/>
    <hyperlink ref="K49" r:id="rId40" xr:uid="{2C0E0776-BE23-48DC-8C9E-CE4439BEA9EB}"/>
    <hyperlink ref="K50" r:id="rId41" xr:uid="{219E5DC5-C945-4291-918E-767FD3BE4C78}"/>
    <hyperlink ref="K51" r:id="rId42" xr:uid="{3CE062DE-C42F-4D27-938D-609BB162E46D}"/>
    <hyperlink ref="K52" r:id="rId43" xr:uid="{B8B15206-3C77-4199-B95B-43330504A33E}"/>
    <hyperlink ref="K56" r:id="rId44" xr:uid="{C3B6E33D-02F5-4470-807F-4FC69991BD4B}"/>
    <hyperlink ref="K57" r:id="rId45" xr:uid="{1A9A94E8-A06D-48C6-B87F-7D60A67A57EB}"/>
    <hyperlink ref="K59" r:id="rId46" xr:uid="{0D9E58C6-32E8-45BB-BDEF-B007558AAFCB}"/>
    <hyperlink ref="K60" r:id="rId47" xr:uid="{66146C87-4DF3-4F43-B424-7DAF385ADD4F}"/>
    <hyperlink ref="K61" r:id="rId48" xr:uid="{BA088DC9-F698-42A5-9C2A-051AD77BA2BE}"/>
    <hyperlink ref="K64" r:id="rId49" xr:uid="{8BB35284-6322-454B-9FB1-A22CF7722BD1}"/>
    <hyperlink ref="K65" r:id="rId50" xr:uid="{B8E567A5-87E4-4ECD-89BD-4FECAA6E7B44}"/>
    <hyperlink ref="K67" r:id="rId51" xr:uid="{C5B46E58-4FF7-4078-8AC7-08BC5384953E}"/>
    <hyperlink ref="K69" r:id="rId52" xr:uid="{352A89F1-1D41-462D-B353-5477E7306002}"/>
    <hyperlink ref="K70" r:id="rId53" xr:uid="{957A392C-AA98-4C1D-8592-8B7C9C1E116A}"/>
    <hyperlink ref="K72" r:id="rId54" xr:uid="{14397350-F9BB-4033-98C1-59FD1F995C7C}"/>
    <hyperlink ref="K73" r:id="rId55" xr:uid="{5009FFB4-1080-426B-9495-2EDFE57E919A}"/>
    <hyperlink ref="K75" r:id="rId56" xr:uid="{7C94A62C-21C5-4D7F-B9B5-60FED90F8568}"/>
    <hyperlink ref="K83" r:id="rId57" xr:uid="{EF8B097C-78BB-45C7-B3BC-64A7A32FE6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FOGLIO RECAP</vt:lpstr>
      <vt:lpstr>SETTIMANA 1</vt:lpstr>
      <vt:lpstr>TEST</vt:lpstr>
      <vt:lpstr>CALCOLO MASSIMALI</vt:lpstr>
      <vt:lpstr>DB ESERCIZI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Berni</dc:creator>
  <cp:lastModifiedBy>Stefano Berni</cp:lastModifiedBy>
  <cp:lastPrinted>2024-01-16T11:24:02Z</cp:lastPrinted>
  <dcterms:created xsi:type="dcterms:W3CDTF">2023-11-21T11:04:00Z</dcterms:created>
  <dcterms:modified xsi:type="dcterms:W3CDTF">2024-03-06T16:33:15Z</dcterms:modified>
</cp:coreProperties>
</file>